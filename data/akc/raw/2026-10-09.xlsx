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5"/>
    <sheet state="visible" name="Summary" sheetId="2" r:id="rId6"/>
    <sheet state="visible" name="Trial ranking" sheetId="3" r:id="rId7"/>
    <sheet state="visible" name="Club ranking" sheetId="4" r:id="rId8"/>
    <sheet state="visible" name="State ranking" sheetId="5" r:id="rId9"/>
    <sheet state="visible" name="Notes" sheetId="6" r:id="rId10"/>
  </sheets>
  <definedNames>
    <definedName hidden="1" localSheetId="0" name="_xlnm._FilterDatabase">Trials!$A$1:$N$149</definedName>
  </definedNames>
  <calcPr/>
</workbook>
</file>

<file path=xl/sharedStrings.xml><?xml version="1.0" encoding="utf-8"?>
<sst xmlns="http://schemas.openxmlformats.org/spreadsheetml/2006/main" count="1050" uniqueCount="198">
  <si>
    <t>Clubs ranked by total LC Trial entries</t>
  </si>
  <si>
    <t>Trials ranked by LC Trial entries</t>
  </si>
  <si>
    <t>AKC lure coursing entries, January 1 to October 9, 2026</t>
  </si>
  <si>
    <t>Date</t>
  </si>
  <si>
    <t>Totals across each club's trials with results posted, January 1 to October 9, 2026.</t>
  </si>
  <si>
    <t>Day</t>
  </si>
  <si>
    <t>Club</t>
  </si>
  <si>
    <t>City</t>
  </si>
  <si>
    <t>State</t>
  </si>
  <si>
    <t>Rank</t>
  </si>
  <si>
    <t>AKC event #</t>
  </si>
  <si>
    <t>Scope</t>
  </si>
  <si>
    <t>LC Trial entries</t>
  </si>
  <si>
    <t>Trials held</t>
  </si>
  <si>
    <t>LC Trial competitors</t>
  </si>
  <si>
    <t>LC Test entries (JC/QC)</t>
  </si>
  <si>
    <t>Avg per trial</t>
  </si>
  <si>
    <t>LC Test competitors</t>
  </si>
  <si>
    <t>Largest trial</t>
  </si>
  <si>
    <t>Total entries</t>
  </si>
  <si>
    <t>LC Test entries</t>
  </si>
  <si>
    <t>Results posted</t>
  </si>
  <si>
    <t>AKC event page</t>
  </si>
  <si>
    <t>Source: AKC Event Search, event type Lure Coursing Tests &amp; Trials (LC), all states. Collected October 9, 2026.</t>
  </si>
  <si>
    <t>Events with results posted that held a trial. Tied trials share a rank.</t>
  </si>
  <si>
    <t>Events listed</t>
  </si>
  <si>
    <t>Sunshine State Rhodesian Ridgeback Club</t>
  </si>
  <si>
    <t>Weirsdale</t>
  </si>
  <si>
    <t>FL</t>
  </si>
  <si>
    <t>All-breed</t>
  </si>
  <si>
    <t>Michigan Gazehound Association</t>
  </si>
  <si>
    <t>Events with results posted</t>
  </si>
  <si>
    <t>Yes</t>
  </si>
  <si>
    <t>Open</t>
  </si>
  <si>
    <t>Events without results posted yet</t>
  </si>
  <si>
    <t>Northern California Whippet Fanciers Association</t>
  </si>
  <si>
    <t>Elverta</t>
  </si>
  <si>
    <t>CA</t>
  </si>
  <si>
    <t>Total entries (trial + test)</t>
  </si>
  <si>
    <t>Events that held an LC Trial</t>
  </si>
  <si>
    <t>Average LC Trial entries per trial</t>
  </si>
  <si>
    <t>Desert Fun Bunch Sighthound Club</t>
  </si>
  <si>
    <t>Black Canyon City</t>
  </si>
  <si>
    <t>AZ</t>
  </si>
  <si>
    <t>Largest LC Trial entry</t>
  </si>
  <si>
    <t>Afghan Hound Club of Dallas</t>
  </si>
  <si>
    <t>Celina</t>
  </si>
  <si>
    <t>TX</t>
  </si>
  <si>
    <t>Smallest LC Trial entry</t>
  </si>
  <si>
    <t>Trinity Valley Rhodesian Ridgeback Club of Texas</t>
  </si>
  <si>
    <t>By month</t>
  </si>
  <si>
    <t>Month</t>
  </si>
  <si>
    <t>Events</t>
  </si>
  <si>
    <t>With results</t>
  </si>
  <si>
    <t>North Texas Saluki Club</t>
  </si>
  <si>
    <t>Avg trial entries</t>
  </si>
  <si>
    <t>High Springs</t>
  </si>
  <si>
    <t>Northwest Rhodesian Ridgeback Club</t>
  </si>
  <si>
    <t>Orange Coast Rhodesian Ridgeback Club</t>
  </si>
  <si>
    <t>Chino</t>
  </si>
  <si>
    <t>Greater Ocala-Gainesville Lure Coursing Association</t>
  </si>
  <si>
    <t>Brooksville</t>
  </si>
  <si>
    <t>Tonopah</t>
  </si>
  <si>
    <t>Evergreen Basenji Club</t>
  </si>
  <si>
    <t>Midwest Borzoi Club</t>
  </si>
  <si>
    <t>Alamo Area Whippet Club</t>
  </si>
  <si>
    <t>Angleton</t>
  </si>
  <si>
    <t>Iowa Coursing Association</t>
  </si>
  <si>
    <t>Northern California Irish Wolfhound Club</t>
  </si>
  <si>
    <t>Fairfield</t>
  </si>
  <si>
    <t>Roy</t>
  </si>
  <si>
    <t>WA</t>
  </si>
  <si>
    <t>American Whippet Club, Inc.</t>
  </si>
  <si>
    <t>Arizona Rhodesian Ridgeback Club</t>
  </si>
  <si>
    <t>Minnesota Coursing Association</t>
  </si>
  <si>
    <t>Gazehound Association of the Smoky Mountains</t>
  </si>
  <si>
    <t>Afghan Hound Club of Austin</t>
  </si>
  <si>
    <t>Lobo Lure Coursing Club</t>
  </si>
  <si>
    <t>Santa Fe</t>
  </si>
  <si>
    <t>NM</t>
  </si>
  <si>
    <t>Mason Dixon Ibizan Hound Club</t>
  </si>
  <si>
    <t>OKI Gazehound Association of Ohio</t>
  </si>
  <si>
    <t>Sierra Slopes Ibizan Hounds</t>
  </si>
  <si>
    <t>Ethel</t>
  </si>
  <si>
    <t>Lehigh Valley Coursing Club</t>
  </si>
  <si>
    <t>Florence</t>
  </si>
  <si>
    <t>Gazehounds of New England Lure Coursing Club</t>
  </si>
  <si>
    <t>Lima</t>
  </si>
  <si>
    <t>OH</t>
  </si>
  <si>
    <t>Western Washington Hound Association</t>
  </si>
  <si>
    <t>Irish Wolfhound Association of the Garden State</t>
  </si>
  <si>
    <t>Somerset</t>
  </si>
  <si>
    <t>NJ</t>
  </si>
  <si>
    <t>Des Moines</t>
  </si>
  <si>
    <t>IA</t>
  </si>
  <si>
    <t>Coursing Hounds Association of Mid-Potomac</t>
  </si>
  <si>
    <t>Western Washington Whippet Association</t>
  </si>
  <si>
    <t>Greater Valley Forge Rhodesian Ridgeback Club, Inc.</t>
  </si>
  <si>
    <t>Sighthound Organization of Tidewater</t>
  </si>
  <si>
    <t>Fairborn</t>
  </si>
  <si>
    <t>Ponder</t>
  </si>
  <si>
    <t>Pasco</t>
  </si>
  <si>
    <t>Whippet specialty</t>
  </si>
  <si>
    <t>California Coursing Association</t>
  </si>
  <si>
    <t>Copper State Basenji Club</t>
  </si>
  <si>
    <t>Utah Sighthound Racing and Coursing Club</t>
  </si>
  <si>
    <t>South Jordan</t>
  </si>
  <si>
    <t>UT</t>
  </si>
  <si>
    <t>Alaska Hound Group Association</t>
  </si>
  <si>
    <t>Farmington</t>
  </si>
  <si>
    <t>MN</t>
  </si>
  <si>
    <t>Rocky Mountain Hound Association of Colorado</t>
  </si>
  <si>
    <t>Gulf Coast Hound Club</t>
  </si>
  <si>
    <t>Semmes</t>
  </si>
  <si>
    <t>AL</t>
  </si>
  <si>
    <t>Lambertville</t>
  </si>
  <si>
    <t>Borzoi Club of America, Inc.</t>
  </si>
  <si>
    <t>Scottish Deerhound Club of America, Inc.</t>
  </si>
  <si>
    <t>Rockwood</t>
  </si>
  <si>
    <t>PA</t>
  </si>
  <si>
    <t>Scottish Deerhound specialty</t>
  </si>
  <si>
    <t>Basenji specialty</t>
  </si>
  <si>
    <t>Tortoise and Hare Lurecoursers Club</t>
  </si>
  <si>
    <t>Peyton</t>
  </si>
  <si>
    <t>CO</t>
  </si>
  <si>
    <t>Oklahoma Racing and Coursing Association</t>
  </si>
  <si>
    <t>Vinita</t>
  </si>
  <si>
    <t>OK</t>
  </si>
  <si>
    <t>Chintimini Kennel Club, Inc.</t>
  </si>
  <si>
    <t>Weeping Water</t>
  </si>
  <si>
    <t>NE</t>
  </si>
  <si>
    <t>Borzoi specialty</t>
  </si>
  <si>
    <t>Cottage Grove</t>
  </si>
  <si>
    <t>OR</t>
  </si>
  <si>
    <t>Central Leatherstocking Area Sighthound Society</t>
  </si>
  <si>
    <t>Dendron</t>
  </si>
  <si>
    <t>VA</t>
  </si>
  <si>
    <t>Total</t>
  </si>
  <si>
    <t>Waterford</t>
  </si>
  <si>
    <t>CT</t>
  </si>
  <si>
    <t>By state</t>
  </si>
  <si>
    <t>Southern California Ibizan Hound Club</t>
  </si>
  <si>
    <t>Helena</t>
  </si>
  <si>
    <t>MT</t>
  </si>
  <si>
    <t>AK</t>
  </si>
  <si>
    <t>McKinney</t>
  </si>
  <si>
    <t>Pharaoh Hound Club of America</t>
  </si>
  <si>
    <t>Midwest Coursing Club of Wisconsin</t>
  </si>
  <si>
    <t>Hyde Park</t>
  </si>
  <si>
    <t>Greyhound Club of America</t>
  </si>
  <si>
    <t>Greyhound specialty</t>
  </si>
  <si>
    <t>Cedar Falls</t>
  </si>
  <si>
    <t>Hanover</t>
  </si>
  <si>
    <t>Palmer</t>
  </si>
  <si>
    <t>Basenji Club of America, Inc.</t>
  </si>
  <si>
    <t>Bellevue</t>
  </si>
  <si>
    <t>MI</t>
  </si>
  <si>
    <t>Irish Wolfhound Association of Lake Erie</t>
  </si>
  <si>
    <t>Ibizan Hound Club of the United States</t>
  </si>
  <si>
    <t>GA</t>
  </si>
  <si>
    <t>Littlestown</t>
  </si>
  <si>
    <t>Monroe</t>
  </si>
  <si>
    <t>IL</t>
  </si>
  <si>
    <t>Caledonia</t>
  </si>
  <si>
    <t>WI</t>
  </si>
  <si>
    <t>Williamston</t>
  </si>
  <si>
    <t>Ibizan Hound specialty</t>
  </si>
  <si>
    <t>Fredonia</t>
  </si>
  <si>
    <t>NY</t>
  </si>
  <si>
    <t>States ranked by total LC Trial entries</t>
  </si>
  <si>
    <t>States whose only events have no results posted yet (GA, IL) are not ranked.</t>
  </si>
  <si>
    <t>Duvall</t>
  </si>
  <si>
    <t>Bennett</t>
  </si>
  <si>
    <t>Pharaoh Hound specialty</t>
  </si>
  <si>
    <t>Lakeside</t>
  </si>
  <si>
    <t>Leesburg</t>
  </si>
  <si>
    <t>Limestone</t>
  </si>
  <si>
    <t>TN</t>
  </si>
  <si>
    <t>Sorento</t>
  </si>
  <si>
    <t>No</t>
  </si>
  <si>
    <t>Starkville</t>
  </si>
  <si>
    <t>Chesapeake Bay Area Rhodesian Ridgeback Club</t>
  </si>
  <si>
    <t>Philomath</t>
  </si>
  <si>
    <t>Bridgewater</t>
  </si>
  <si>
    <t>Tipp City</t>
  </si>
  <si>
    <t>Greyhound Association of North Georgia</t>
  </si>
  <si>
    <t>Canon</t>
  </si>
  <si>
    <t>Shelbyville</t>
  </si>
  <si>
    <t>How to read this workbook</t>
  </si>
  <si>
    <t>Each row on the Trials sheet is one AKC event number. Counts are copied from the "Number of Entries" and "Number of Competitors" lines on that event's AKC results page; the link in the last column opens it.</t>
  </si>
  <si>
    <t>LC Trial = the trial stakes (Open, Specials, Veterans). This is the figure comparable to an ASFA trial entry.</t>
  </si>
  <si>
    <t>LC Test = Junior Courser and Qualified Courser tests held with the trial. A test entry of 0 means the test was offered and nobody entered. A blank means that event had no test (or no trial).</t>
  </si>
  <si>
    <t>Entries and competitors are AKC's own labels. Competitors is the lower figure where the two differ.</t>
  </si>
  <si>
    <t>Scope: "All-breed" events are open to all eligible sighthound breeds. A breed name marks a specialty limited to that breed.</t>
  </si>
  <si>
    <t>Results posted = No: AKC had not posted results for that event when this was collected (events from September 7 onward, 25 in all). Their entry cells are blank and they are left out of every total. Re-collect later to fill them in.</t>
  </si>
  <si>
    <t>Excluded: Coursing Ability Tests (CAT) and Fast CAT, which AKC lists as separate event types.</t>
  </si>
  <si>
    <t>Totals on the Summary sheet are formulas over the Trials sheet and update if rows are edited or added.</t>
  </si>
  <si>
    <t>Ranking sheets are ordered as of collection. Their figures are formulas, but the row order does not re-sort itself if the Trials sheet is edited.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</si>
</sst>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&quot;, &quot;yyyy"/>
    <numFmt numFmtId="165" formatCode="0.0"/>
    <numFmt numFmtId="166" formatCode="mmmm"/>
  </numFmts>
  <fonts count="10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i/>
      <sz val="11.0"/>
      <color rgb="FF595959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u/>
      <sz val="11.0"/>
      <color rgb="FF0563C1"/>
      <name val="Arial"/>
    </font>
    <font>
      <b/>
      <sz val="12.0"/>
      <color theme="1"/>
      <name val="Arial"/>
    </font>
    <font>
      <b/>
      <sz val="13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1"/>
    </xf>
    <xf borderId="0" fillId="0" fontId="5" numFmtId="166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pps.akc.org/apps/events/search/index_results.cfm?action=plan&amp;event_number=2026283908" TargetMode="External"/><Relationship Id="rId42" Type="http://schemas.openxmlformats.org/officeDocument/2006/relationships/hyperlink" Target="https://www.apps.akc.org/apps/events/search/index_results.cfm?action=plan&amp;event_number=2026288901" TargetMode="External"/><Relationship Id="rId41" Type="http://schemas.openxmlformats.org/officeDocument/2006/relationships/hyperlink" Target="https://www.apps.akc.org/apps/events/search/index_results.cfm?action=plan&amp;event_number=2026281106" TargetMode="External"/><Relationship Id="rId44" Type="http://schemas.openxmlformats.org/officeDocument/2006/relationships/hyperlink" Target="https://www.apps.akc.org/apps/events/search/index_results.cfm?action=plan&amp;event_number=2026295406" TargetMode="External"/><Relationship Id="rId43" Type="http://schemas.openxmlformats.org/officeDocument/2006/relationships/hyperlink" Target="https://www.apps.akc.org/apps/events/search/index_results.cfm?action=plan&amp;event_number=2026265201" TargetMode="External"/><Relationship Id="rId46" Type="http://schemas.openxmlformats.org/officeDocument/2006/relationships/hyperlink" Target="https://www.apps.akc.org/apps/events/search/index_results.cfm?action=plan&amp;event_number=2026265202" TargetMode="External"/><Relationship Id="rId45" Type="http://schemas.openxmlformats.org/officeDocument/2006/relationships/hyperlink" Target="https://www.apps.akc.org/apps/events/search/index_results.cfm?action=plan&amp;event_number=2026288902" TargetMode="External"/><Relationship Id="rId107" Type="http://schemas.openxmlformats.org/officeDocument/2006/relationships/hyperlink" Target="https://www.apps.akc.org/apps/events/search/index_results.cfm?action=plan&amp;event_number=2026761223" TargetMode="External"/><Relationship Id="rId106" Type="http://schemas.openxmlformats.org/officeDocument/2006/relationships/hyperlink" Target="https://www.apps.akc.org/apps/events/search/index_results.cfm?action=plan&amp;event_number=2026761222" TargetMode="External"/><Relationship Id="rId105" Type="http://schemas.openxmlformats.org/officeDocument/2006/relationships/hyperlink" Target="https://www.apps.akc.org/apps/events/search/index_results.cfm?action=plan&amp;event_number=2026261012" TargetMode="External"/><Relationship Id="rId104" Type="http://schemas.openxmlformats.org/officeDocument/2006/relationships/hyperlink" Target="https://www.apps.akc.org/apps/events/search/index_results.cfm?action=plan&amp;event_number=2026261011" TargetMode="External"/><Relationship Id="rId109" Type="http://schemas.openxmlformats.org/officeDocument/2006/relationships/hyperlink" Target="https://www.apps.akc.org/apps/events/search/index_results.cfm?action=plan&amp;event_number=2026262907" TargetMode="External"/><Relationship Id="rId108" Type="http://schemas.openxmlformats.org/officeDocument/2006/relationships/hyperlink" Target="https://www.apps.akc.org/apps/events/search/index_results.cfm?action=plan&amp;event_number=2026261013" TargetMode="External"/><Relationship Id="rId48" Type="http://schemas.openxmlformats.org/officeDocument/2006/relationships/hyperlink" Target="https://www.apps.akc.org/apps/events/search/index_results.cfm?action=plan&amp;event_number=2026295407" TargetMode="External"/><Relationship Id="rId47" Type="http://schemas.openxmlformats.org/officeDocument/2006/relationships/hyperlink" Target="https://www.apps.akc.org/apps/events/search/index_results.cfm?action=plan&amp;event_number=2026074707" TargetMode="External"/><Relationship Id="rId49" Type="http://schemas.openxmlformats.org/officeDocument/2006/relationships/hyperlink" Target="https://www.apps.akc.org/apps/events/search/index_results.cfm?action=plan&amp;event_number=2026325804" TargetMode="External"/><Relationship Id="rId103" Type="http://schemas.openxmlformats.org/officeDocument/2006/relationships/hyperlink" Target="https://www.apps.akc.org/apps/events/search/index_results.cfm?action=plan&amp;event_number=2026000702" TargetMode="External"/><Relationship Id="rId102" Type="http://schemas.openxmlformats.org/officeDocument/2006/relationships/hyperlink" Target="https://www.apps.akc.org/apps/events/search/index_results.cfm?action=plan&amp;event_number=2026074710" TargetMode="External"/><Relationship Id="rId101" Type="http://schemas.openxmlformats.org/officeDocument/2006/relationships/hyperlink" Target="https://www.apps.akc.org/apps/events/search/index_results.cfm?action=plan&amp;event_number=2026291602" TargetMode="External"/><Relationship Id="rId100" Type="http://schemas.openxmlformats.org/officeDocument/2006/relationships/hyperlink" Target="https://www.apps.akc.org/apps/events/search/index_results.cfm?action=plan&amp;event_number=2026262502" TargetMode="External"/><Relationship Id="rId31" Type="http://schemas.openxmlformats.org/officeDocument/2006/relationships/hyperlink" Target="https://www.apps.akc.org/apps/events/search/index_results.cfm?action=plan&amp;event_number=2026702927" TargetMode="External"/><Relationship Id="rId30" Type="http://schemas.openxmlformats.org/officeDocument/2006/relationships/hyperlink" Target="https://www.apps.akc.org/apps/events/search/index_results.cfm?action=plan&amp;event_number=2026169402" TargetMode="External"/><Relationship Id="rId33" Type="http://schemas.openxmlformats.org/officeDocument/2006/relationships/hyperlink" Target="https://www.apps.akc.org/apps/events/search/index_results.cfm?action=plan&amp;event_number=2026702928" TargetMode="External"/><Relationship Id="rId32" Type="http://schemas.openxmlformats.org/officeDocument/2006/relationships/hyperlink" Target="https://www.apps.akc.org/apps/events/search/index_results.cfm?action=plan&amp;event_number=2026058402" TargetMode="External"/><Relationship Id="rId35" Type="http://schemas.openxmlformats.org/officeDocument/2006/relationships/hyperlink" Target="https://www.apps.akc.org/apps/events/search/index_results.cfm?action=plan&amp;event_number=2026169401" TargetMode="External"/><Relationship Id="rId34" Type="http://schemas.openxmlformats.org/officeDocument/2006/relationships/hyperlink" Target="https://www.apps.akc.org/apps/events/search/index_results.cfm?action=plan&amp;event_number=2026686304" TargetMode="External"/><Relationship Id="rId37" Type="http://schemas.openxmlformats.org/officeDocument/2006/relationships/hyperlink" Target="https://www.apps.akc.org/apps/events/search/index_results.cfm?action=plan&amp;event_number=2026268704" TargetMode="External"/><Relationship Id="rId36" Type="http://schemas.openxmlformats.org/officeDocument/2006/relationships/hyperlink" Target="https://www.apps.akc.org/apps/events/search/index_results.cfm?action=plan&amp;event_number=2026058403" TargetMode="External"/><Relationship Id="rId39" Type="http://schemas.openxmlformats.org/officeDocument/2006/relationships/hyperlink" Target="https://www.apps.akc.org/apps/events/search/index_results.cfm?action=plan&amp;event_number=2026259701" TargetMode="External"/><Relationship Id="rId38" Type="http://schemas.openxmlformats.org/officeDocument/2006/relationships/hyperlink" Target="https://www.apps.akc.org/apps/events/search/index_results.cfm?action=plan&amp;event_number=2026283907" TargetMode="External"/><Relationship Id="rId20" Type="http://schemas.openxmlformats.org/officeDocument/2006/relationships/hyperlink" Target="https://www.apps.akc.org/apps/events/search/index_results.cfm?action=plan&amp;event_number=2026184303" TargetMode="External"/><Relationship Id="rId22" Type="http://schemas.openxmlformats.org/officeDocument/2006/relationships/hyperlink" Target="https://www.apps.akc.org/apps/events/search/index_results.cfm?action=plan&amp;event_number=2026627005" TargetMode="External"/><Relationship Id="rId21" Type="http://schemas.openxmlformats.org/officeDocument/2006/relationships/hyperlink" Target="https://www.apps.akc.org/apps/events/search/index_results.cfm?action=plan&amp;event_number=2026627004" TargetMode="External"/><Relationship Id="rId24" Type="http://schemas.openxmlformats.org/officeDocument/2006/relationships/hyperlink" Target="https://www.apps.akc.org/apps/events/search/index_results.cfm?action=plan&amp;event_number=2026258603" TargetMode="External"/><Relationship Id="rId23" Type="http://schemas.openxmlformats.org/officeDocument/2006/relationships/hyperlink" Target="https://www.apps.akc.org/apps/events/search/index_results.cfm?action=plan&amp;event_number=2026184304" TargetMode="External"/><Relationship Id="rId129" Type="http://schemas.openxmlformats.org/officeDocument/2006/relationships/hyperlink" Target="https://www.apps.akc.org/apps/events/search/index_results.cfm?action=plan&amp;event_number=2026724112" TargetMode="External"/><Relationship Id="rId128" Type="http://schemas.openxmlformats.org/officeDocument/2006/relationships/hyperlink" Target="https://www.apps.akc.org/apps/events/search/index_results.cfm?action=plan&amp;event_number=2026659319" TargetMode="External"/><Relationship Id="rId127" Type="http://schemas.openxmlformats.org/officeDocument/2006/relationships/hyperlink" Target="https://www.apps.akc.org/apps/events/search/index_results.cfm?action=plan&amp;event_number=2026724111" TargetMode="External"/><Relationship Id="rId126" Type="http://schemas.openxmlformats.org/officeDocument/2006/relationships/hyperlink" Target="https://www.apps.akc.org/apps/events/search/index_results.cfm?action=plan&amp;event_number=2026659318" TargetMode="External"/><Relationship Id="rId26" Type="http://schemas.openxmlformats.org/officeDocument/2006/relationships/hyperlink" Target="https://www.apps.akc.org/apps/events/search/index_results.cfm?action=plan&amp;event_number=2026258604" TargetMode="External"/><Relationship Id="rId121" Type="http://schemas.openxmlformats.org/officeDocument/2006/relationships/hyperlink" Target="https://www.apps.akc.org/apps/events/search/index_results.cfm?action=plan&amp;event_number=2026741911" TargetMode="External"/><Relationship Id="rId25" Type="http://schemas.openxmlformats.org/officeDocument/2006/relationships/hyperlink" Target="https://www.apps.akc.org/apps/events/search/index_results.cfm?action=plan&amp;event_number=2026250105" TargetMode="External"/><Relationship Id="rId120" Type="http://schemas.openxmlformats.org/officeDocument/2006/relationships/hyperlink" Target="https://www.apps.akc.org/apps/events/search/index_results.cfm?action=plan&amp;event_number=2026257608" TargetMode="External"/><Relationship Id="rId28" Type="http://schemas.openxmlformats.org/officeDocument/2006/relationships/hyperlink" Target="https://www.apps.akc.org/apps/events/search/index_results.cfm?action=plan&amp;event_number=2026268703" TargetMode="External"/><Relationship Id="rId27" Type="http://schemas.openxmlformats.org/officeDocument/2006/relationships/hyperlink" Target="https://www.apps.akc.org/apps/events/search/index_results.cfm?action=plan&amp;event_number=2026250106" TargetMode="External"/><Relationship Id="rId125" Type="http://schemas.openxmlformats.org/officeDocument/2006/relationships/hyperlink" Target="https://www.apps.akc.org/apps/events/search/index_results.cfm?action=plan&amp;event_number=2026698401" TargetMode="External"/><Relationship Id="rId29" Type="http://schemas.openxmlformats.org/officeDocument/2006/relationships/hyperlink" Target="https://www.apps.akc.org/apps/events/search/index_results.cfm?action=plan&amp;event_number=2026686303" TargetMode="External"/><Relationship Id="rId124" Type="http://schemas.openxmlformats.org/officeDocument/2006/relationships/hyperlink" Target="https://www.apps.akc.org/apps/events/search/index_results.cfm?action=plan&amp;event_number=2026741913" TargetMode="External"/><Relationship Id="rId123" Type="http://schemas.openxmlformats.org/officeDocument/2006/relationships/hyperlink" Target="https://www.apps.akc.org/apps/events/search/index_results.cfm?action=plan&amp;event_number=2026291609" TargetMode="External"/><Relationship Id="rId122" Type="http://schemas.openxmlformats.org/officeDocument/2006/relationships/hyperlink" Target="https://www.apps.akc.org/apps/events/search/index_results.cfm?action=plan&amp;event_number=2026741912" TargetMode="External"/><Relationship Id="rId95" Type="http://schemas.openxmlformats.org/officeDocument/2006/relationships/hyperlink" Target="https://www.apps.akc.org/apps/events/search/index_results.cfm?action=plan&amp;event_number=2026500901" TargetMode="External"/><Relationship Id="rId94" Type="http://schemas.openxmlformats.org/officeDocument/2006/relationships/hyperlink" Target="https://www.apps.akc.org/apps/events/search/index_results.cfm?action=plan&amp;event_number=2026261010" TargetMode="External"/><Relationship Id="rId97" Type="http://schemas.openxmlformats.org/officeDocument/2006/relationships/hyperlink" Target="https://www.apps.akc.org/apps/events/search/index_results.cfm?action=plan&amp;event_number=2026411307" TargetMode="External"/><Relationship Id="rId96" Type="http://schemas.openxmlformats.org/officeDocument/2006/relationships/hyperlink" Target="https://www.apps.akc.org/apps/events/search/index_results.cfm?action=plan&amp;event_number=2026500902" TargetMode="External"/><Relationship Id="rId11" Type="http://schemas.openxmlformats.org/officeDocument/2006/relationships/hyperlink" Target="https://www.apps.akc.org/apps/events/search/index_results.cfm?action=plan&amp;event_number=2026281101" TargetMode="External"/><Relationship Id="rId99" Type="http://schemas.openxmlformats.org/officeDocument/2006/relationships/hyperlink" Target="https://www.apps.akc.org/apps/events/search/index_results.cfm?action=plan&amp;event_number=2026411308" TargetMode="External"/><Relationship Id="rId10" Type="http://schemas.openxmlformats.org/officeDocument/2006/relationships/hyperlink" Target="https://www.apps.akc.org/apps/events/search/index_results.cfm?action=plan&amp;event_number=2026702926" TargetMode="External"/><Relationship Id="rId98" Type="http://schemas.openxmlformats.org/officeDocument/2006/relationships/hyperlink" Target="https://www.apps.akc.org/apps/events/search/index_results.cfm?action=plan&amp;event_number=2026262501" TargetMode="External"/><Relationship Id="rId13" Type="http://schemas.openxmlformats.org/officeDocument/2006/relationships/hyperlink" Target="https://www.apps.akc.org/apps/events/search/index_results.cfm?action=plan&amp;event_number=2026258601" TargetMode="External"/><Relationship Id="rId12" Type="http://schemas.openxmlformats.org/officeDocument/2006/relationships/hyperlink" Target="https://www.apps.akc.org/apps/events/search/index_results.cfm?action=plan&amp;event_number=2026281102" TargetMode="External"/><Relationship Id="rId91" Type="http://schemas.openxmlformats.org/officeDocument/2006/relationships/hyperlink" Target="https://www.apps.akc.org/apps/events/search/index_results.cfm?action=plan&amp;event_number=2026671103" TargetMode="External"/><Relationship Id="rId90" Type="http://schemas.openxmlformats.org/officeDocument/2006/relationships/hyperlink" Target="https://www.apps.akc.org/apps/events/search/index_results.cfm?action=plan&amp;event_number=2026686312" TargetMode="External"/><Relationship Id="rId93" Type="http://schemas.openxmlformats.org/officeDocument/2006/relationships/hyperlink" Target="https://www.apps.akc.org/apps/events/search/index_results.cfm?action=plan&amp;event_number=2026671104" TargetMode="External"/><Relationship Id="rId92" Type="http://schemas.openxmlformats.org/officeDocument/2006/relationships/hyperlink" Target="https://www.apps.akc.org/apps/events/search/index_results.cfm?action=plan&amp;event_number=2026686313" TargetMode="External"/><Relationship Id="rId118" Type="http://schemas.openxmlformats.org/officeDocument/2006/relationships/hyperlink" Target="https://www.apps.akc.org/apps/events/search/index_results.cfm?action=plan&amp;event_number=2026520603" TargetMode="External"/><Relationship Id="rId117" Type="http://schemas.openxmlformats.org/officeDocument/2006/relationships/hyperlink" Target="https://www.apps.akc.org/apps/events/search/index_results.cfm?action=plan&amp;event_number=2026520602" TargetMode="External"/><Relationship Id="rId116" Type="http://schemas.openxmlformats.org/officeDocument/2006/relationships/hyperlink" Target="https://www.apps.akc.org/apps/events/search/index_results.cfm?action=plan&amp;event_number=2026659311" TargetMode="External"/><Relationship Id="rId115" Type="http://schemas.openxmlformats.org/officeDocument/2006/relationships/hyperlink" Target="https://www.apps.akc.org/apps/events/search/index_results.cfm?action=plan&amp;event_number=2026659310" TargetMode="External"/><Relationship Id="rId119" Type="http://schemas.openxmlformats.org/officeDocument/2006/relationships/hyperlink" Target="https://www.apps.akc.org/apps/events/search/index_results.cfm?action=plan&amp;event_number=2026257607" TargetMode="External"/><Relationship Id="rId15" Type="http://schemas.openxmlformats.org/officeDocument/2006/relationships/hyperlink" Target="https://www.apps.akc.org/apps/events/search/index_results.cfm?action=plan&amp;event_number=2026572910" TargetMode="External"/><Relationship Id="rId110" Type="http://schemas.openxmlformats.org/officeDocument/2006/relationships/hyperlink" Target="https://www.apps.akc.org/apps/events/search/index_results.cfm?action=plan&amp;event_number=2026262908" TargetMode="External"/><Relationship Id="rId14" Type="http://schemas.openxmlformats.org/officeDocument/2006/relationships/hyperlink" Target="https://www.apps.akc.org/apps/events/search/index_results.cfm?action=plan&amp;event_number=2026572909" TargetMode="External"/><Relationship Id="rId17" Type="http://schemas.openxmlformats.org/officeDocument/2006/relationships/hyperlink" Target="https://www.apps.akc.org/apps/events/search/index_results.cfm?action=plan&amp;event_number=2026249901" TargetMode="External"/><Relationship Id="rId16" Type="http://schemas.openxmlformats.org/officeDocument/2006/relationships/hyperlink" Target="https://www.apps.akc.org/apps/events/search/index_results.cfm?action=plan&amp;event_number=2026258602" TargetMode="External"/><Relationship Id="rId19" Type="http://schemas.openxmlformats.org/officeDocument/2006/relationships/hyperlink" Target="https://www.apps.akc.org/apps/events/search/index_results.cfm?action=plan&amp;event_number=2026074601" TargetMode="External"/><Relationship Id="rId114" Type="http://schemas.openxmlformats.org/officeDocument/2006/relationships/hyperlink" Target="https://www.apps.akc.org/apps/events/search/index_results.cfm?action=plan&amp;event_number=2026659326" TargetMode="External"/><Relationship Id="rId18" Type="http://schemas.openxmlformats.org/officeDocument/2006/relationships/hyperlink" Target="https://www.apps.akc.org/apps/events/search/index_results.cfm?action=plan&amp;event_number=2026249902" TargetMode="External"/><Relationship Id="rId113" Type="http://schemas.openxmlformats.org/officeDocument/2006/relationships/hyperlink" Target="https://www.apps.akc.org/apps/events/search/index_results.cfm?action=plan&amp;event_number=2026686315" TargetMode="External"/><Relationship Id="rId112" Type="http://schemas.openxmlformats.org/officeDocument/2006/relationships/hyperlink" Target="https://www.apps.akc.org/apps/events/search/index_results.cfm?action=plan&amp;event_number=2026283602" TargetMode="External"/><Relationship Id="rId111" Type="http://schemas.openxmlformats.org/officeDocument/2006/relationships/hyperlink" Target="https://www.apps.akc.org/apps/events/search/index_results.cfm?action=plan&amp;event_number=2026686314" TargetMode="External"/><Relationship Id="rId84" Type="http://schemas.openxmlformats.org/officeDocument/2006/relationships/hyperlink" Target="https://www.apps.akc.org/apps/events/search/index_results.cfm?action=plan&amp;event_number=2026260913" TargetMode="External"/><Relationship Id="rId83" Type="http://schemas.openxmlformats.org/officeDocument/2006/relationships/hyperlink" Target="https://www.apps.akc.org/apps/events/search/index_results.cfm?action=plan&amp;event_number=2026259703" TargetMode="External"/><Relationship Id="rId86" Type="http://schemas.openxmlformats.org/officeDocument/2006/relationships/hyperlink" Target="https://www.apps.akc.org/apps/events/search/index_results.cfm?action=plan&amp;event_number=2026659304" TargetMode="External"/><Relationship Id="rId85" Type="http://schemas.openxmlformats.org/officeDocument/2006/relationships/hyperlink" Target="https://www.apps.akc.org/apps/events/search/index_results.cfm?action=plan&amp;event_number=2026251405" TargetMode="External"/><Relationship Id="rId88" Type="http://schemas.openxmlformats.org/officeDocument/2006/relationships/hyperlink" Target="https://www.apps.akc.org/apps/events/search/index_results.cfm?action=plan&amp;event_number=2026251406" TargetMode="External"/><Relationship Id="rId87" Type="http://schemas.openxmlformats.org/officeDocument/2006/relationships/hyperlink" Target="https://www.apps.akc.org/apps/events/search/index_results.cfm?action=plan&amp;event_number=2026659306" TargetMode="External"/><Relationship Id="rId89" Type="http://schemas.openxmlformats.org/officeDocument/2006/relationships/hyperlink" Target="https://www.apps.akc.org/apps/events/search/index_results.cfm?action=plan&amp;event_number=2026261009" TargetMode="External"/><Relationship Id="rId80" Type="http://schemas.openxmlformats.org/officeDocument/2006/relationships/hyperlink" Target="https://www.apps.akc.org/apps/events/search/index_results.cfm?action=plan&amp;event_number=2026259702" TargetMode="External"/><Relationship Id="rId82" Type="http://schemas.openxmlformats.org/officeDocument/2006/relationships/hyperlink" Target="https://www.apps.akc.org/apps/events/search/index_results.cfm?action=plan&amp;event_number=2026260912" TargetMode="External"/><Relationship Id="rId81" Type="http://schemas.openxmlformats.org/officeDocument/2006/relationships/hyperlink" Target="https://www.apps.akc.org/apps/events/search/index_results.cfm?action=plan&amp;event_number=2026260911" TargetMode="External"/><Relationship Id="rId1" Type="http://schemas.openxmlformats.org/officeDocument/2006/relationships/hyperlink" Target="https://www.apps.akc.org/apps/events/search/index_results.cfm?action=plan&amp;event_number=2026702901" TargetMode="External"/><Relationship Id="rId2" Type="http://schemas.openxmlformats.org/officeDocument/2006/relationships/hyperlink" Target="https://www.apps.akc.org/apps/events/search/index_results.cfm?action=plan&amp;event_number=2026702902" TargetMode="External"/><Relationship Id="rId3" Type="http://schemas.openxmlformats.org/officeDocument/2006/relationships/hyperlink" Target="https://www.apps.akc.org/apps/events/search/index_results.cfm?action=plan&amp;event_number=2026264102" TargetMode="External"/><Relationship Id="rId149" Type="http://schemas.openxmlformats.org/officeDocument/2006/relationships/drawing" Target="../drawings/drawing1.xml"/><Relationship Id="rId4" Type="http://schemas.openxmlformats.org/officeDocument/2006/relationships/hyperlink" Target="https://www.apps.akc.org/apps/events/search/index_results.cfm?action=plan&amp;event_number=2026264101" TargetMode="External"/><Relationship Id="rId148" Type="http://schemas.openxmlformats.org/officeDocument/2006/relationships/hyperlink" Target="https://www.apps.akc.org/apps/events/search/index_results.cfm?action=plan&amp;event_number=2026265204" TargetMode="External"/><Relationship Id="rId9" Type="http://schemas.openxmlformats.org/officeDocument/2006/relationships/hyperlink" Target="https://www.apps.akc.org/apps/events/search/index_results.cfm?action=plan&amp;event_number=2026702925" TargetMode="External"/><Relationship Id="rId143" Type="http://schemas.openxmlformats.org/officeDocument/2006/relationships/hyperlink" Target="https://www.apps.akc.org/apps/events/search/index_results.cfm?action=plan&amp;event_number=2026281121" TargetMode="External"/><Relationship Id="rId142" Type="http://schemas.openxmlformats.org/officeDocument/2006/relationships/hyperlink" Target="https://www.apps.akc.org/apps/events/search/index_results.cfm?action=plan&amp;event_number=2026695609" TargetMode="External"/><Relationship Id="rId141" Type="http://schemas.openxmlformats.org/officeDocument/2006/relationships/hyperlink" Target="https://www.apps.akc.org/apps/events/search/index_results.cfm?action=plan&amp;event_number=2026411311" TargetMode="External"/><Relationship Id="rId140" Type="http://schemas.openxmlformats.org/officeDocument/2006/relationships/hyperlink" Target="https://www.apps.akc.org/apps/events/search/index_results.cfm?action=plan&amp;event_number=2026265203" TargetMode="External"/><Relationship Id="rId5" Type="http://schemas.openxmlformats.org/officeDocument/2006/relationships/hyperlink" Target="https://www.apps.akc.org/apps/events/search/index_results.cfm?action=plan&amp;event_number=2026572902" TargetMode="External"/><Relationship Id="rId147" Type="http://schemas.openxmlformats.org/officeDocument/2006/relationships/hyperlink" Target="https://www.apps.akc.org/apps/events/search/index_results.cfm?action=plan&amp;event_number=2026500904" TargetMode="External"/><Relationship Id="rId6" Type="http://schemas.openxmlformats.org/officeDocument/2006/relationships/hyperlink" Target="https://www.apps.akc.org/apps/events/search/index_results.cfm?action=plan&amp;event_number=2026073806" TargetMode="External"/><Relationship Id="rId146" Type="http://schemas.openxmlformats.org/officeDocument/2006/relationships/hyperlink" Target="https://www.apps.akc.org/apps/events/search/index_results.cfm?action=plan&amp;event_number=2026411312" TargetMode="External"/><Relationship Id="rId7" Type="http://schemas.openxmlformats.org/officeDocument/2006/relationships/hyperlink" Target="https://www.apps.akc.org/apps/events/search/index_results.cfm?action=plan&amp;event_number=2026572901" TargetMode="External"/><Relationship Id="rId145" Type="http://schemas.openxmlformats.org/officeDocument/2006/relationships/hyperlink" Target="https://www.apps.akc.org/apps/events/search/index_results.cfm?action=plan&amp;event_number=2026000709" TargetMode="External"/><Relationship Id="rId8" Type="http://schemas.openxmlformats.org/officeDocument/2006/relationships/hyperlink" Target="https://www.apps.akc.org/apps/events/search/index_results.cfm?action=plan&amp;event_number=2026679804" TargetMode="External"/><Relationship Id="rId144" Type="http://schemas.openxmlformats.org/officeDocument/2006/relationships/hyperlink" Target="https://www.apps.akc.org/apps/events/search/index_results.cfm?action=plan&amp;event_number=2026695610" TargetMode="External"/><Relationship Id="rId73" Type="http://schemas.openxmlformats.org/officeDocument/2006/relationships/hyperlink" Target="https://www.apps.akc.org/apps/events/search/index_results.cfm?action=plan&amp;event_number=2026571802" TargetMode="External"/><Relationship Id="rId72" Type="http://schemas.openxmlformats.org/officeDocument/2006/relationships/hyperlink" Target="https://www.apps.akc.org/apps/events/search/index_results.cfm?action=plan&amp;event_number=2026295410" TargetMode="External"/><Relationship Id="rId75" Type="http://schemas.openxmlformats.org/officeDocument/2006/relationships/hyperlink" Target="https://www.apps.akc.org/apps/events/search/index_results.cfm?action=plan&amp;event_number=2026098814" TargetMode="External"/><Relationship Id="rId74" Type="http://schemas.openxmlformats.org/officeDocument/2006/relationships/hyperlink" Target="https://www.apps.akc.org/apps/events/search/index_results.cfm?action=plan&amp;event_number=2026268802" TargetMode="External"/><Relationship Id="rId77" Type="http://schemas.openxmlformats.org/officeDocument/2006/relationships/hyperlink" Target="https://www.apps.akc.org/apps/events/search/index_results.cfm?action=plan&amp;event_number=2026192511" TargetMode="External"/><Relationship Id="rId76" Type="http://schemas.openxmlformats.org/officeDocument/2006/relationships/hyperlink" Target="https://www.apps.akc.org/apps/events/search/index_results.cfm?action=plan&amp;event_number=2026271222" TargetMode="External"/><Relationship Id="rId79" Type="http://schemas.openxmlformats.org/officeDocument/2006/relationships/hyperlink" Target="https://www.apps.akc.org/apps/events/search/index_results.cfm?action=plan&amp;event_number=2026295411" TargetMode="External"/><Relationship Id="rId78" Type="http://schemas.openxmlformats.org/officeDocument/2006/relationships/hyperlink" Target="https://www.apps.akc.org/apps/events/search/index_results.cfm?action=plan&amp;event_number=2026694018" TargetMode="External"/><Relationship Id="rId71" Type="http://schemas.openxmlformats.org/officeDocument/2006/relationships/hyperlink" Target="https://www.apps.akc.org/apps/events/search/index_results.cfm?action=plan&amp;event_number=2026694017" TargetMode="External"/><Relationship Id="rId70" Type="http://schemas.openxmlformats.org/officeDocument/2006/relationships/hyperlink" Target="https://www.apps.akc.org/apps/events/search/index_results.cfm?action=plan&amp;event_number=2026571801" TargetMode="External"/><Relationship Id="rId139" Type="http://schemas.openxmlformats.org/officeDocument/2006/relationships/hyperlink" Target="https://www.apps.akc.org/apps/events/search/index_results.cfm?action=plan&amp;event_number=2026500903" TargetMode="External"/><Relationship Id="rId138" Type="http://schemas.openxmlformats.org/officeDocument/2006/relationships/hyperlink" Target="https://www.apps.akc.org/apps/events/search/index_results.cfm?action=plan&amp;event_number=2026281120" TargetMode="External"/><Relationship Id="rId137" Type="http://schemas.openxmlformats.org/officeDocument/2006/relationships/hyperlink" Target="https://www.apps.akc.org/apps/events/search/index_results.cfm?action=plan&amp;event_number=2026717513" TargetMode="External"/><Relationship Id="rId132" Type="http://schemas.openxmlformats.org/officeDocument/2006/relationships/hyperlink" Target="https://www.apps.akc.org/apps/events/search/index_results.cfm?action=plan&amp;event_number=2026288909" TargetMode="External"/><Relationship Id="rId131" Type="http://schemas.openxmlformats.org/officeDocument/2006/relationships/hyperlink" Target="https://www.apps.akc.org/apps/events/search/index_results.cfm?action=plan&amp;event_number=2026098829" TargetMode="External"/><Relationship Id="rId130" Type="http://schemas.openxmlformats.org/officeDocument/2006/relationships/hyperlink" Target="https://www.apps.akc.org/apps/events/search/index_results.cfm?action=plan&amp;event_number=2026694024" TargetMode="External"/><Relationship Id="rId136" Type="http://schemas.openxmlformats.org/officeDocument/2006/relationships/hyperlink" Target="https://www.apps.akc.org/apps/events/search/index_results.cfm?action=plan&amp;event_number=2026717512" TargetMode="External"/><Relationship Id="rId135" Type="http://schemas.openxmlformats.org/officeDocument/2006/relationships/hyperlink" Target="https://www.apps.akc.org/apps/events/search/index_results.cfm?action=plan&amp;event_number=2026288908" TargetMode="External"/><Relationship Id="rId134" Type="http://schemas.openxmlformats.org/officeDocument/2006/relationships/hyperlink" Target="https://www.apps.akc.org/apps/events/search/index_results.cfm?action=plan&amp;event_number=2026098830" TargetMode="External"/><Relationship Id="rId133" Type="http://schemas.openxmlformats.org/officeDocument/2006/relationships/hyperlink" Target="https://www.apps.akc.org/apps/events/search/index_results.cfm?action=plan&amp;event_number=2026694025" TargetMode="External"/><Relationship Id="rId62" Type="http://schemas.openxmlformats.org/officeDocument/2006/relationships/hyperlink" Target="https://www.apps.akc.org/apps/events/search/index_results.cfm?action=plan&amp;event_number=2026717507" TargetMode="External"/><Relationship Id="rId61" Type="http://schemas.openxmlformats.org/officeDocument/2006/relationships/hyperlink" Target="https://www.apps.akc.org/apps/events/search/index_results.cfm?action=plan&amp;event_number=2026653405" TargetMode="External"/><Relationship Id="rId64" Type="http://schemas.openxmlformats.org/officeDocument/2006/relationships/hyperlink" Target="https://www.apps.akc.org/apps/events/search/index_results.cfm?action=plan&amp;event_number=2026717508" TargetMode="External"/><Relationship Id="rId63" Type="http://schemas.openxmlformats.org/officeDocument/2006/relationships/hyperlink" Target="https://www.apps.akc.org/apps/events/search/index_results.cfm?action=plan&amp;event_number=2026184307" TargetMode="External"/><Relationship Id="rId66" Type="http://schemas.openxmlformats.org/officeDocument/2006/relationships/hyperlink" Target="https://www.apps.akc.org/apps/events/search/index_results.cfm?action=plan&amp;event_number=2026116701" TargetMode="External"/><Relationship Id="rId65" Type="http://schemas.openxmlformats.org/officeDocument/2006/relationships/hyperlink" Target="https://www.apps.akc.org/apps/events/search/index_results.cfm?action=plan&amp;event_number=2026653406" TargetMode="External"/><Relationship Id="rId68" Type="http://schemas.openxmlformats.org/officeDocument/2006/relationships/hyperlink" Target="https://www.apps.akc.org/apps/events/search/index_results.cfm?action=plan&amp;event_number=2026098813" TargetMode="External"/><Relationship Id="rId67" Type="http://schemas.openxmlformats.org/officeDocument/2006/relationships/hyperlink" Target="https://www.apps.akc.org/apps/events/search/index_results.cfm?action=plan&amp;event_number=2026116702" TargetMode="External"/><Relationship Id="rId60" Type="http://schemas.openxmlformats.org/officeDocument/2006/relationships/hyperlink" Target="https://www.apps.akc.org/apps/events/search/index_results.cfm?action=plan&amp;event_number=2026184308" TargetMode="External"/><Relationship Id="rId69" Type="http://schemas.openxmlformats.org/officeDocument/2006/relationships/hyperlink" Target="https://www.apps.akc.org/apps/events/search/index_results.cfm?action=plan&amp;event_number=2026268801" TargetMode="External"/><Relationship Id="rId51" Type="http://schemas.openxmlformats.org/officeDocument/2006/relationships/hyperlink" Target="https://www.apps.akc.org/apps/events/search/index_results.cfm?action=plan&amp;event_number=2026271204" TargetMode="External"/><Relationship Id="rId50" Type="http://schemas.openxmlformats.org/officeDocument/2006/relationships/hyperlink" Target="https://www.apps.akc.org/apps/events/search/index_results.cfm?action=plan&amp;event_number=2026271203" TargetMode="External"/><Relationship Id="rId53" Type="http://schemas.openxmlformats.org/officeDocument/2006/relationships/hyperlink" Target="https://www.apps.akc.org/apps/events/search/index_results.cfm?action=plan&amp;event_number=2026262902" TargetMode="External"/><Relationship Id="rId52" Type="http://schemas.openxmlformats.org/officeDocument/2006/relationships/hyperlink" Target="https://www.apps.akc.org/apps/events/search/index_results.cfm?action=plan&amp;event_number=2026325805" TargetMode="External"/><Relationship Id="rId55" Type="http://schemas.openxmlformats.org/officeDocument/2006/relationships/hyperlink" Target="https://www.apps.akc.org/apps/events/search/index_results.cfm?action=plan&amp;event_number=2026719404" TargetMode="External"/><Relationship Id="rId54" Type="http://schemas.openxmlformats.org/officeDocument/2006/relationships/hyperlink" Target="https://www.apps.akc.org/apps/events/search/index_results.cfm?action=plan&amp;event_number=2026262901" TargetMode="External"/><Relationship Id="rId57" Type="http://schemas.openxmlformats.org/officeDocument/2006/relationships/hyperlink" Target="https://www.apps.akc.org/apps/events/search/index_results.cfm?action=plan&amp;event_number=2026719405" TargetMode="External"/><Relationship Id="rId56" Type="http://schemas.openxmlformats.org/officeDocument/2006/relationships/hyperlink" Target="https://www.apps.akc.org/apps/events/search/index_results.cfm?action=plan&amp;event_number=2026671102" TargetMode="External"/><Relationship Id="rId59" Type="http://schemas.openxmlformats.org/officeDocument/2006/relationships/hyperlink" Target="https://www.apps.akc.org/apps/events/search/index_results.cfm?action=plan&amp;event_number=2026135815" TargetMode="External"/><Relationship Id="rId58" Type="http://schemas.openxmlformats.org/officeDocument/2006/relationships/hyperlink" Target="https://www.apps.akc.org/apps/events/search/index_results.cfm?action=plan&amp;event_number=202667110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4.0"/>
    <col customWidth="1" min="2" max="2" width="6.0"/>
    <col customWidth="1" min="3" max="3" width="50.0"/>
    <col customWidth="1" min="4" max="4" width="20.0"/>
    <col customWidth="1" min="5" max="5" width="7.0"/>
    <col customWidth="1" min="6" max="6" width="13.0"/>
    <col customWidth="1" min="7" max="7" width="22.0"/>
    <col customWidth="1" min="8" max="8" width="10.0"/>
    <col customWidth="1" min="9" max="11" width="12.0"/>
    <col customWidth="1" min="12" max="13" width="9.0"/>
    <col customWidth="1" min="14" max="14" width="10.0"/>
    <col customWidth="1" min="15" max="26" width="8.71"/>
  </cols>
  <sheetData>
    <row r="1" ht="31.5" customHeight="1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10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17</v>
      </c>
      <c r="L1" s="2" t="s">
        <v>19</v>
      </c>
      <c r="M1" s="2" t="s">
        <v>21</v>
      </c>
      <c r="N1" s="2" t="s">
        <v>22</v>
      </c>
    </row>
    <row r="2" ht="15.0" customHeight="1">
      <c r="A2" s="5">
        <v>46025.0</v>
      </c>
      <c r="B2" s="6" t="str">
        <f t="shared" ref="B2:B149" si="1">TEXT(A2,"ddd")</f>
        <v>Sat</v>
      </c>
      <c r="C2" s="6" t="s">
        <v>26</v>
      </c>
      <c r="D2" s="6" t="s">
        <v>27</v>
      </c>
      <c r="E2" s="6" t="s">
        <v>28</v>
      </c>
      <c r="F2" s="6">
        <v>2.026702901E9</v>
      </c>
      <c r="G2" s="6" t="s">
        <v>29</v>
      </c>
      <c r="H2" s="6">
        <v>35.0</v>
      </c>
      <c r="I2" s="6">
        <v>34.0</v>
      </c>
      <c r="J2" s="6">
        <v>12.0</v>
      </c>
      <c r="K2" s="6">
        <v>12.0</v>
      </c>
      <c r="L2" s="6">
        <f t="shared" ref="L2:L149" si="2">IF(M2="Yes",SUM(H2,J2),"")</f>
        <v>47</v>
      </c>
      <c r="M2" s="6" t="s">
        <v>32</v>
      </c>
      <c r="N2" s="8" t="s">
        <v>33</v>
      </c>
    </row>
    <row r="3" ht="15.0" customHeight="1">
      <c r="A3" s="5">
        <v>46026.0</v>
      </c>
      <c r="B3" s="6" t="str">
        <f t="shared" si="1"/>
        <v>Sun</v>
      </c>
      <c r="C3" s="6" t="s">
        <v>26</v>
      </c>
      <c r="D3" s="6" t="s">
        <v>27</v>
      </c>
      <c r="E3" s="6" t="s">
        <v>28</v>
      </c>
      <c r="F3" s="6">
        <v>2.026702902E9</v>
      </c>
      <c r="G3" s="6" t="s">
        <v>29</v>
      </c>
      <c r="H3" s="6">
        <v>41.0</v>
      </c>
      <c r="I3" s="6">
        <v>37.0</v>
      </c>
      <c r="J3" s="6">
        <v>2.0</v>
      </c>
      <c r="K3" s="6">
        <v>2.0</v>
      </c>
      <c r="L3" s="6">
        <f t="shared" si="2"/>
        <v>43</v>
      </c>
      <c r="M3" s="6" t="s">
        <v>32</v>
      </c>
      <c r="N3" s="8" t="s">
        <v>33</v>
      </c>
    </row>
    <row r="4" ht="15.0" customHeight="1">
      <c r="A4" s="5">
        <v>46032.0</v>
      </c>
      <c r="B4" s="6" t="str">
        <f t="shared" si="1"/>
        <v>Sat</v>
      </c>
      <c r="C4" s="6" t="s">
        <v>35</v>
      </c>
      <c r="D4" s="6" t="s">
        <v>36</v>
      </c>
      <c r="E4" s="6" t="s">
        <v>37</v>
      </c>
      <c r="F4" s="6">
        <v>2.026264102E9</v>
      </c>
      <c r="G4" s="6" t="s">
        <v>29</v>
      </c>
      <c r="H4" s="6">
        <v>59.0</v>
      </c>
      <c r="I4" s="6">
        <v>59.0</v>
      </c>
      <c r="J4" s="6">
        <v>14.0</v>
      </c>
      <c r="K4" s="6">
        <v>14.0</v>
      </c>
      <c r="L4" s="6">
        <f t="shared" si="2"/>
        <v>73</v>
      </c>
      <c r="M4" s="6" t="s">
        <v>32</v>
      </c>
      <c r="N4" s="8" t="s">
        <v>33</v>
      </c>
    </row>
    <row r="5" ht="15.0" customHeight="1">
      <c r="A5" s="5">
        <v>46033.0</v>
      </c>
      <c r="B5" s="6" t="str">
        <f t="shared" si="1"/>
        <v>Sun</v>
      </c>
      <c r="C5" s="6" t="s">
        <v>35</v>
      </c>
      <c r="D5" s="6" t="s">
        <v>36</v>
      </c>
      <c r="E5" s="6" t="s">
        <v>37</v>
      </c>
      <c r="F5" s="6">
        <v>2.026264101E9</v>
      </c>
      <c r="G5" s="6" t="s">
        <v>29</v>
      </c>
      <c r="H5" s="6">
        <v>61.0</v>
      </c>
      <c r="I5" s="6">
        <v>61.0</v>
      </c>
      <c r="J5" s="6">
        <v>8.0</v>
      </c>
      <c r="K5" s="6">
        <v>8.0</v>
      </c>
      <c r="L5" s="6">
        <f t="shared" si="2"/>
        <v>69</v>
      </c>
      <c r="M5" s="6" t="s">
        <v>32</v>
      </c>
      <c r="N5" s="8" t="s">
        <v>33</v>
      </c>
    </row>
    <row r="6" ht="15.0" customHeight="1">
      <c r="A6" s="5">
        <v>46039.0</v>
      </c>
      <c r="B6" s="6" t="str">
        <f t="shared" si="1"/>
        <v>Sat</v>
      </c>
      <c r="C6" s="6" t="s">
        <v>41</v>
      </c>
      <c r="D6" s="6" t="s">
        <v>42</v>
      </c>
      <c r="E6" s="6" t="s">
        <v>43</v>
      </c>
      <c r="F6" s="6">
        <v>2.026572902E9</v>
      </c>
      <c r="G6" s="6" t="s">
        <v>29</v>
      </c>
      <c r="H6" s="6">
        <v>41.0</v>
      </c>
      <c r="I6" s="6">
        <v>41.0</v>
      </c>
      <c r="J6" s="6">
        <v>2.0</v>
      </c>
      <c r="K6" s="6">
        <v>2.0</v>
      </c>
      <c r="L6" s="6">
        <f t="shared" si="2"/>
        <v>43</v>
      </c>
      <c r="M6" s="6" t="s">
        <v>32</v>
      </c>
      <c r="N6" s="8" t="s">
        <v>33</v>
      </c>
    </row>
    <row r="7" ht="15.0" customHeight="1">
      <c r="A7" s="5">
        <v>46039.0</v>
      </c>
      <c r="B7" s="6" t="str">
        <f t="shared" si="1"/>
        <v>Sat</v>
      </c>
      <c r="C7" s="6" t="s">
        <v>45</v>
      </c>
      <c r="D7" s="6" t="s">
        <v>46</v>
      </c>
      <c r="E7" s="6" t="s">
        <v>47</v>
      </c>
      <c r="F7" s="6">
        <v>2.026073806E9</v>
      </c>
      <c r="G7" s="6" t="s">
        <v>29</v>
      </c>
      <c r="H7" s="6">
        <v>24.0</v>
      </c>
      <c r="I7" s="6">
        <v>23.0</v>
      </c>
      <c r="J7" s="6">
        <v>5.0</v>
      </c>
      <c r="K7" s="6">
        <v>5.0</v>
      </c>
      <c r="L7" s="6">
        <f t="shared" si="2"/>
        <v>29</v>
      </c>
      <c r="M7" s="6" t="s">
        <v>32</v>
      </c>
      <c r="N7" s="8" t="s">
        <v>33</v>
      </c>
    </row>
    <row r="8" ht="15.0" customHeight="1">
      <c r="A8" s="5">
        <v>46040.0</v>
      </c>
      <c r="B8" s="6" t="str">
        <f t="shared" si="1"/>
        <v>Sun</v>
      </c>
      <c r="C8" s="6" t="s">
        <v>41</v>
      </c>
      <c r="D8" s="6" t="s">
        <v>42</v>
      </c>
      <c r="E8" s="6" t="s">
        <v>43</v>
      </c>
      <c r="F8" s="6">
        <v>2.026572901E9</v>
      </c>
      <c r="G8" s="6" t="s">
        <v>29</v>
      </c>
      <c r="H8" s="6">
        <v>39.0</v>
      </c>
      <c r="I8" s="6">
        <v>39.0</v>
      </c>
      <c r="J8" s="6">
        <v>4.0</v>
      </c>
      <c r="K8" s="6">
        <v>4.0</v>
      </c>
      <c r="L8" s="6">
        <f t="shared" si="2"/>
        <v>43</v>
      </c>
      <c r="M8" s="6" t="s">
        <v>32</v>
      </c>
      <c r="N8" s="8" t="s">
        <v>33</v>
      </c>
    </row>
    <row r="9" ht="15.0" customHeight="1">
      <c r="A9" s="5">
        <v>46040.0</v>
      </c>
      <c r="B9" s="6" t="str">
        <f t="shared" si="1"/>
        <v>Sun</v>
      </c>
      <c r="C9" s="6" t="s">
        <v>54</v>
      </c>
      <c r="D9" s="6" t="s">
        <v>46</v>
      </c>
      <c r="E9" s="6" t="s">
        <v>47</v>
      </c>
      <c r="F9" s="6">
        <v>2.026679804E9</v>
      </c>
      <c r="G9" s="6" t="s">
        <v>29</v>
      </c>
      <c r="H9" s="6">
        <v>19.0</v>
      </c>
      <c r="I9" s="6">
        <v>18.0</v>
      </c>
      <c r="J9" s="6">
        <v>4.0</v>
      </c>
      <c r="K9" s="6">
        <v>4.0</v>
      </c>
      <c r="L9" s="6">
        <f t="shared" si="2"/>
        <v>23</v>
      </c>
      <c r="M9" s="6" t="s">
        <v>32</v>
      </c>
      <c r="N9" s="8" t="s">
        <v>33</v>
      </c>
    </row>
    <row r="10" ht="15.0" customHeight="1">
      <c r="A10" s="5">
        <v>46060.0</v>
      </c>
      <c r="B10" s="6" t="str">
        <f t="shared" si="1"/>
        <v>Sat</v>
      </c>
      <c r="C10" s="6" t="s">
        <v>26</v>
      </c>
      <c r="D10" s="6" t="s">
        <v>56</v>
      </c>
      <c r="E10" s="6" t="s">
        <v>28</v>
      </c>
      <c r="F10" s="6">
        <v>2.026702925E9</v>
      </c>
      <c r="G10" s="6" t="s">
        <v>29</v>
      </c>
      <c r="H10" s="6">
        <v>41.0</v>
      </c>
      <c r="I10" s="6">
        <v>41.0</v>
      </c>
      <c r="J10" s="6">
        <v>9.0</v>
      </c>
      <c r="K10" s="6">
        <v>9.0</v>
      </c>
      <c r="L10" s="6">
        <f t="shared" si="2"/>
        <v>50</v>
      </c>
      <c r="M10" s="6" t="s">
        <v>32</v>
      </c>
      <c r="N10" s="8" t="s">
        <v>33</v>
      </c>
    </row>
    <row r="11" ht="15.0" customHeight="1">
      <c r="A11" s="5">
        <v>46061.0</v>
      </c>
      <c r="B11" s="6" t="str">
        <f t="shared" si="1"/>
        <v>Sun</v>
      </c>
      <c r="C11" s="6" t="s">
        <v>26</v>
      </c>
      <c r="D11" s="6" t="s">
        <v>56</v>
      </c>
      <c r="E11" s="6" t="s">
        <v>28</v>
      </c>
      <c r="F11" s="6">
        <v>2.026702926E9</v>
      </c>
      <c r="G11" s="6" t="s">
        <v>29</v>
      </c>
      <c r="H11" s="6">
        <v>50.0</v>
      </c>
      <c r="I11" s="6">
        <v>50.0</v>
      </c>
      <c r="J11" s="6">
        <v>3.0</v>
      </c>
      <c r="K11" s="6">
        <v>3.0</v>
      </c>
      <c r="L11" s="6">
        <f t="shared" si="2"/>
        <v>53</v>
      </c>
      <c r="M11" s="6" t="s">
        <v>32</v>
      </c>
      <c r="N11" s="8" t="s">
        <v>33</v>
      </c>
    </row>
    <row r="12" ht="15.0" customHeight="1">
      <c r="A12" s="5">
        <v>46067.0</v>
      </c>
      <c r="B12" s="6" t="str">
        <f t="shared" si="1"/>
        <v>Sat</v>
      </c>
      <c r="C12" s="6" t="s">
        <v>58</v>
      </c>
      <c r="D12" s="6" t="s">
        <v>59</v>
      </c>
      <c r="E12" s="6" t="s">
        <v>37</v>
      </c>
      <c r="F12" s="6">
        <v>2.026281101E9</v>
      </c>
      <c r="G12" s="6" t="s">
        <v>29</v>
      </c>
      <c r="H12" s="6">
        <v>24.0</v>
      </c>
      <c r="I12" s="6">
        <v>24.0</v>
      </c>
      <c r="J12" s="6">
        <v>4.0</v>
      </c>
      <c r="K12" s="6">
        <v>4.0</v>
      </c>
      <c r="L12" s="6">
        <f t="shared" si="2"/>
        <v>28</v>
      </c>
      <c r="M12" s="6" t="s">
        <v>32</v>
      </c>
      <c r="N12" s="8" t="s">
        <v>33</v>
      </c>
    </row>
    <row r="13" ht="15.0" customHeight="1">
      <c r="A13" s="5">
        <v>46068.0</v>
      </c>
      <c r="B13" s="6" t="str">
        <f t="shared" si="1"/>
        <v>Sun</v>
      </c>
      <c r="C13" s="6" t="s">
        <v>58</v>
      </c>
      <c r="D13" s="6" t="s">
        <v>59</v>
      </c>
      <c r="E13" s="6" t="s">
        <v>37</v>
      </c>
      <c r="F13" s="6">
        <v>2.026281102E9</v>
      </c>
      <c r="G13" s="6" t="s">
        <v>29</v>
      </c>
      <c r="H13" s="6">
        <v>19.0</v>
      </c>
      <c r="I13" s="6">
        <v>19.0</v>
      </c>
      <c r="J13" s="6">
        <v>4.0</v>
      </c>
      <c r="K13" s="6">
        <v>4.0</v>
      </c>
      <c r="L13" s="6">
        <f t="shared" si="2"/>
        <v>23</v>
      </c>
      <c r="M13" s="6" t="s">
        <v>32</v>
      </c>
      <c r="N13" s="8" t="s">
        <v>33</v>
      </c>
    </row>
    <row r="14" ht="15.0" customHeight="1">
      <c r="A14" s="5">
        <v>46074.0</v>
      </c>
      <c r="B14" s="6" t="str">
        <f t="shared" si="1"/>
        <v>Sat</v>
      </c>
      <c r="C14" s="6" t="s">
        <v>60</v>
      </c>
      <c r="D14" s="6" t="s">
        <v>61</v>
      </c>
      <c r="E14" s="6" t="s">
        <v>28</v>
      </c>
      <c r="F14" s="6">
        <v>2.026258601E9</v>
      </c>
      <c r="G14" s="6" t="s">
        <v>29</v>
      </c>
      <c r="H14" s="6">
        <v>52.0</v>
      </c>
      <c r="I14" s="6">
        <v>51.0</v>
      </c>
      <c r="J14" s="6">
        <v>4.0</v>
      </c>
      <c r="K14" s="6">
        <v>4.0</v>
      </c>
      <c r="L14" s="6">
        <f t="shared" si="2"/>
        <v>56</v>
      </c>
      <c r="M14" s="6" t="s">
        <v>32</v>
      </c>
      <c r="N14" s="8" t="s">
        <v>33</v>
      </c>
    </row>
    <row r="15" ht="15.0" customHeight="1">
      <c r="A15" s="5">
        <v>46074.0</v>
      </c>
      <c r="B15" s="6" t="str">
        <f t="shared" si="1"/>
        <v>Sat</v>
      </c>
      <c r="C15" s="6" t="s">
        <v>41</v>
      </c>
      <c r="D15" s="6" t="s">
        <v>62</v>
      </c>
      <c r="E15" s="6" t="s">
        <v>43</v>
      </c>
      <c r="F15" s="6">
        <v>2.026572909E9</v>
      </c>
      <c r="G15" s="6" t="s">
        <v>29</v>
      </c>
      <c r="H15" s="6">
        <v>54.0</v>
      </c>
      <c r="I15" s="6">
        <v>54.0</v>
      </c>
      <c r="J15" s="6">
        <v>8.0</v>
      </c>
      <c r="K15" s="6">
        <v>8.0</v>
      </c>
      <c r="L15" s="6">
        <f t="shared" si="2"/>
        <v>62</v>
      </c>
      <c r="M15" s="6" t="s">
        <v>32</v>
      </c>
      <c r="N15" s="8" t="s">
        <v>33</v>
      </c>
    </row>
    <row r="16" ht="15.0" customHeight="1">
      <c r="A16" s="5">
        <v>46075.0</v>
      </c>
      <c r="B16" s="6" t="str">
        <f t="shared" si="1"/>
        <v>Sun</v>
      </c>
      <c r="C16" s="6" t="s">
        <v>41</v>
      </c>
      <c r="D16" s="6" t="s">
        <v>62</v>
      </c>
      <c r="E16" s="6" t="s">
        <v>43</v>
      </c>
      <c r="F16" s="6">
        <v>2.02657291E9</v>
      </c>
      <c r="G16" s="6" t="s">
        <v>29</v>
      </c>
      <c r="H16" s="6">
        <v>48.0</v>
      </c>
      <c r="I16" s="6">
        <v>48.0</v>
      </c>
      <c r="J16" s="6">
        <v>3.0</v>
      </c>
      <c r="K16" s="6">
        <v>3.0</v>
      </c>
      <c r="L16" s="6">
        <f t="shared" si="2"/>
        <v>51</v>
      </c>
      <c r="M16" s="6" t="s">
        <v>32</v>
      </c>
      <c r="N16" s="8" t="s">
        <v>33</v>
      </c>
    </row>
    <row r="17" ht="15.0" customHeight="1">
      <c r="A17" s="5">
        <v>46075.0</v>
      </c>
      <c r="B17" s="6" t="str">
        <f t="shared" si="1"/>
        <v>Sun</v>
      </c>
      <c r="C17" s="6" t="s">
        <v>60</v>
      </c>
      <c r="D17" s="6" t="s">
        <v>61</v>
      </c>
      <c r="E17" s="6" t="s">
        <v>28</v>
      </c>
      <c r="F17" s="6">
        <v>2.026258602E9</v>
      </c>
      <c r="G17" s="6" t="s">
        <v>29</v>
      </c>
      <c r="H17" s="6">
        <v>42.0</v>
      </c>
      <c r="I17" s="6">
        <v>42.0</v>
      </c>
      <c r="J17" s="6">
        <v>1.0</v>
      </c>
      <c r="K17" s="6">
        <v>1.0</v>
      </c>
      <c r="L17" s="6">
        <f t="shared" si="2"/>
        <v>43</v>
      </c>
      <c r="M17" s="6" t="s">
        <v>32</v>
      </c>
      <c r="N17" s="8" t="s">
        <v>33</v>
      </c>
    </row>
    <row r="18" ht="15.0" customHeight="1">
      <c r="A18" s="5">
        <v>46081.0</v>
      </c>
      <c r="B18" s="6" t="str">
        <f t="shared" si="1"/>
        <v>Sat</v>
      </c>
      <c r="C18" s="6" t="s">
        <v>65</v>
      </c>
      <c r="D18" s="6" t="s">
        <v>66</v>
      </c>
      <c r="E18" s="6" t="s">
        <v>47</v>
      </c>
      <c r="F18" s="6">
        <v>2.026249901E9</v>
      </c>
      <c r="G18" s="6" t="s">
        <v>29</v>
      </c>
      <c r="H18" s="6">
        <v>42.0</v>
      </c>
      <c r="I18" s="6">
        <v>42.0</v>
      </c>
      <c r="J18" s="6">
        <v>10.0</v>
      </c>
      <c r="K18" s="6">
        <v>10.0</v>
      </c>
      <c r="L18" s="6">
        <f t="shared" si="2"/>
        <v>52</v>
      </c>
      <c r="M18" s="6" t="s">
        <v>32</v>
      </c>
      <c r="N18" s="8" t="s">
        <v>33</v>
      </c>
    </row>
    <row r="19" ht="15.0" customHeight="1">
      <c r="A19" s="5">
        <v>46082.0</v>
      </c>
      <c r="B19" s="6" t="str">
        <f t="shared" si="1"/>
        <v>Sun</v>
      </c>
      <c r="C19" s="6" t="s">
        <v>65</v>
      </c>
      <c r="D19" s="6" t="s">
        <v>66</v>
      </c>
      <c r="E19" s="6" t="s">
        <v>47</v>
      </c>
      <c r="F19" s="6">
        <v>2.026249902E9</v>
      </c>
      <c r="G19" s="6" t="s">
        <v>29</v>
      </c>
      <c r="H19" s="6">
        <v>31.0</v>
      </c>
      <c r="I19" s="6">
        <v>31.0</v>
      </c>
      <c r="J19" s="6">
        <v>2.0</v>
      </c>
      <c r="K19" s="6">
        <v>2.0</v>
      </c>
      <c r="L19" s="6">
        <f t="shared" si="2"/>
        <v>33</v>
      </c>
      <c r="M19" s="6" t="s">
        <v>32</v>
      </c>
      <c r="N19" s="8" t="s">
        <v>33</v>
      </c>
    </row>
    <row r="20" ht="15.0" customHeight="1">
      <c r="A20" s="5">
        <v>46082.0</v>
      </c>
      <c r="B20" s="6" t="str">
        <f t="shared" si="1"/>
        <v>Sun</v>
      </c>
      <c r="C20" s="6" t="s">
        <v>68</v>
      </c>
      <c r="D20" s="6" t="s">
        <v>69</v>
      </c>
      <c r="E20" s="6" t="s">
        <v>37</v>
      </c>
      <c r="F20" s="6">
        <v>2.026074601E9</v>
      </c>
      <c r="G20" s="6" t="s">
        <v>29</v>
      </c>
      <c r="H20" s="6">
        <v>37.0</v>
      </c>
      <c r="I20" s="6">
        <v>37.0</v>
      </c>
      <c r="J20" s="6">
        <v>4.0</v>
      </c>
      <c r="K20" s="6">
        <v>4.0</v>
      </c>
      <c r="L20" s="6">
        <f t="shared" si="2"/>
        <v>41</v>
      </c>
      <c r="M20" s="6" t="s">
        <v>32</v>
      </c>
      <c r="N20" s="8" t="s">
        <v>33</v>
      </c>
    </row>
    <row r="21" ht="15.0" customHeight="1">
      <c r="A21" s="5">
        <v>46088.0</v>
      </c>
      <c r="B21" s="6" t="str">
        <f t="shared" si="1"/>
        <v>Sat</v>
      </c>
      <c r="C21" s="6" t="s">
        <v>63</v>
      </c>
      <c r="D21" s="6" t="s">
        <v>70</v>
      </c>
      <c r="E21" s="6" t="s">
        <v>71</v>
      </c>
      <c r="F21" s="6">
        <v>2.026184303E9</v>
      </c>
      <c r="G21" s="6" t="s">
        <v>29</v>
      </c>
      <c r="H21" s="6">
        <v>49.0</v>
      </c>
      <c r="I21" s="6">
        <v>49.0</v>
      </c>
      <c r="J21" s="6">
        <v>18.0</v>
      </c>
      <c r="K21" s="6">
        <v>18.0</v>
      </c>
      <c r="L21" s="6">
        <f t="shared" si="2"/>
        <v>67</v>
      </c>
      <c r="M21" s="6" t="s">
        <v>32</v>
      </c>
      <c r="N21" s="8" t="s">
        <v>33</v>
      </c>
    </row>
    <row r="22" ht="15.0" customHeight="1">
      <c r="A22" s="5">
        <v>46088.0</v>
      </c>
      <c r="B22" s="6" t="str">
        <f t="shared" si="1"/>
        <v>Sat</v>
      </c>
      <c r="C22" s="6" t="s">
        <v>73</v>
      </c>
      <c r="D22" s="6" t="s">
        <v>62</v>
      </c>
      <c r="E22" s="6" t="s">
        <v>43</v>
      </c>
      <c r="F22" s="6">
        <v>2.026627004E9</v>
      </c>
      <c r="G22" s="6" t="s">
        <v>29</v>
      </c>
      <c r="H22" s="6">
        <v>31.0</v>
      </c>
      <c r="I22" s="6">
        <v>31.0</v>
      </c>
      <c r="J22" s="6">
        <v>10.0</v>
      </c>
      <c r="K22" s="6">
        <v>10.0</v>
      </c>
      <c r="L22" s="6">
        <f t="shared" si="2"/>
        <v>41</v>
      </c>
      <c r="M22" s="6" t="s">
        <v>32</v>
      </c>
      <c r="N22" s="8" t="s">
        <v>33</v>
      </c>
    </row>
    <row r="23" ht="15.0" customHeight="1">
      <c r="A23" s="5">
        <v>46089.0</v>
      </c>
      <c r="B23" s="6" t="str">
        <f t="shared" si="1"/>
        <v>Sun</v>
      </c>
      <c r="C23" s="6" t="s">
        <v>73</v>
      </c>
      <c r="D23" s="6" t="s">
        <v>62</v>
      </c>
      <c r="E23" s="6" t="s">
        <v>43</v>
      </c>
      <c r="F23" s="6">
        <v>2.026627005E9</v>
      </c>
      <c r="G23" s="6" t="s">
        <v>29</v>
      </c>
      <c r="H23" s="6">
        <v>24.0</v>
      </c>
      <c r="I23" s="6">
        <v>24.0</v>
      </c>
      <c r="J23" s="6">
        <v>4.0</v>
      </c>
      <c r="K23" s="6">
        <v>4.0</v>
      </c>
      <c r="L23" s="6">
        <f t="shared" si="2"/>
        <v>28</v>
      </c>
      <c r="M23" s="6" t="s">
        <v>32</v>
      </c>
      <c r="N23" s="8" t="s">
        <v>33</v>
      </c>
    </row>
    <row r="24" ht="15.0" customHeight="1">
      <c r="A24" s="5">
        <v>46089.0</v>
      </c>
      <c r="B24" s="6" t="str">
        <f t="shared" si="1"/>
        <v>Sun</v>
      </c>
      <c r="C24" s="6" t="s">
        <v>63</v>
      </c>
      <c r="D24" s="6" t="s">
        <v>70</v>
      </c>
      <c r="E24" s="6" t="s">
        <v>71</v>
      </c>
      <c r="F24" s="6">
        <v>2.026184304E9</v>
      </c>
      <c r="G24" s="6" t="s">
        <v>29</v>
      </c>
      <c r="H24" s="6">
        <v>32.0</v>
      </c>
      <c r="I24" s="6">
        <v>32.0</v>
      </c>
      <c r="J24" s="6">
        <v>4.0</v>
      </c>
      <c r="K24" s="6">
        <v>4.0</v>
      </c>
      <c r="L24" s="6">
        <f t="shared" si="2"/>
        <v>36</v>
      </c>
      <c r="M24" s="6" t="s">
        <v>32</v>
      </c>
      <c r="N24" s="8" t="s">
        <v>33</v>
      </c>
    </row>
    <row r="25" ht="15.0" customHeight="1">
      <c r="A25" s="5">
        <v>46102.0</v>
      </c>
      <c r="B25" s="6" t="str">
        <f t="shared" si="1"/>
        <v>Sat</v>
      </c>
      <c r="C25" s="6" t="s">
        <v>60</v>
      </c>
      <c r="D25" s="6" t="s">
        <v>61</v>
      </c>
      <c r="E25" s="6" t="s">
        <v>28</v>
      </c>
      <c r="F25" s="6">
        <v>2.026258603E9</v>
      </c>
      <c r="G25" s="6" t="s">
        <v>29</v>
      </c>
      <c r="H25" s="6">
        <v>35.0</v>
      </c>
      <c r="I25" s="6">
        <v>35.0</v>
      </c>
      <c r="J25" s="6"/>
      <c r="K25" s="6"/>
      <c r="L25" s="6">
        <f t="shared" si="2"/>
        <v>35</v>
      </c>
      <c r="M25" s="6" t="s">
        <v>32</v>
      </c>
      <c r="N25" s="8" t="s">
        <v>33</v>
      </c>
    </row>
    <row r="26" ht="15.0" customHeight="1">
      <c r="A26" s="5">
        <v>46102.0</v>
      </c>
      <c r="B26" s="6" t="str">
        <f t="shared" si="1"/>
        <v>Sat</v>
      </c>
      <c r="C26" s="6" t="s">
        <v>77</v>
      </c>
      <c r="D26" s="6" t="s">
        <v>78</v>
      </c>
      <c r="E26" s="6" t="s">
        <v>79</v>
      </c>
      <c r="F26" s="6">
        <v>2.026250105E9</v>
      </c>
      <c r="G26" s="6" t="s">
        <v>29</v>
      </c>
      <c r="H26" s="6">
        <v>13.0</v>
      </c>
      <c r="I26" s="6">
        <v>13.0</v>
      </c>
      <c r="J26" s="6">
        <v>5.0</v>
      </c>
      <c r="K26" s="6">
        <v>5.0</v>
      </c>
      <c r="L26" s="6">
        <f t="shared" si="2"/>
        <v>18</v>
      </c>
      <c r="M26" s="6" t="s">
        <v>32</v>
      </c>
      <c r="N26" s="8" t="s">
        <v>33</v>
      </c>
    </row>
    <row r="27" ht="15.0" customHeight="1">
      <c r="A27" s="5">
        <v>46103.0</v>
      </c>
      <c r="B27" s="6" t="str">
        <f t="shared" si="1"/>
        <v>Sun</v>
      </c>
      <c r="C27" s="6" t="s">
        <v>60</v>
      </c>
      <c r="D27" s="6" t="s">
        <v>61</v>
      </c>
      <c r="E27" s="6" t="s">
        <v>28</v>
      </c>
      <c r="F27" s="6">
        <v>2.026258604E9</v>
      </c>
      <c r="G27" s="6" t="s">
        <v>29</v>
      </c>
      <c r="H27" s="6">
        <v>47.0</v>
      </c>
      <c r="I27" s="6">
        <v>43.0</v>
      </c>
      <c r="J27" s="6">
        <v>7.0</v>
      </c>
      <c r="K27" s="6">
        <v>7.0</v>
      </c>
      <c r="L27" s="6">
        <f t="shared" si="2"/>
        <v>54</v>
      </c>
      <c r="M27" s="6" t="s">
        <v>32</v>
      </c>
      <c r="N27" s="8" t="s">
        <v>33</v>
      </c>
    </row>
    <row r="28" ht="15.0" customHeight="1">
      <c r="A28" s="5">
        <v>46103.0</v>
      </c>
      <c r="B28" s="6" t="str">
        <f t="shared" si="1"/>
        <v>Sun</v>
      </c>
      <c r="C28" s="6" t="s">
        <v>77</v>
      </c>
      <c r="D28" s="6" t="s">
        <v>78</v>
      </c>
      <c r="E28" s="6" t="s">
        <v>79</v>
      </c>
      <c r="F28" s="6">
        <v>2.026250106E9</v>
      </c>
      <c r="G28" s="6" t="s">
        <v>29</v>
      </c>
      <c r="H28" s="6">
        <v>11.0</v>
      </c>
      <c r="I28" s="6">
        <v>10.0</v>
      </c>
      <c r="J28" s="6">
        <v>3.0</v>
      </c>
      <c r="K28" s="6">
        <v>3.0</v>
      </c>
      <c r="L28" s="6">
        <f t="shared" si="2"/>
        <v>14</v>
      </c>
      <c r="M28" s="6" t="s">
        <v>32</v>
      </c>
      <c r="N28" s="8" t="s">
        <v>33</v>
      </c>
    </row>
    <row r="29" ht="15.0" customHeight="1">
      <c r="A29" s="5">
        <v>46109.0</v>
      </c>
      <c r="B29" s="6" t="str">
        <f t="shared" si="1"/>
        <v>Sat</v>
      </c>
      <c r="C29" s="6" t="s">
        <v>82</v>
      </c>
      <c r="D29" s="6" t="s">
        <v>36</v>
      </c>
      <c r="E29" s="6" t="s">
        <v>37</v>
      </c>
      <c r="F29" s="6">
        <v>2.026268703E9</v>
      </c>
      <c r="G29" s="6" t="s">
        <v>29</v>
      </c>
      <c r="H29" s="6">
        <v>43.0</v>
      </c>
      <c r="I29" s="6">
        <v>43.0</v>
      </c>
      <c r="J29" s="6">
        <v>7.0</v>
      </c>
      <c r="K29" s="6">
        <v>7.0</v>
      </c>
      <c r="L29" s="6">
        <f t="shared" si="2"/>
        <v>50</v>
      </c>
      <c r="M29" s="6" t="s">
        <v>32</v>
      </c>
      <c r="N29" s="8" t="s">
        <v>33</v>
      </c>
    </row>
    <row r="30" ht="15.0" customHeight="1">
      <c r="A30" s="5">
        <v>46109.0</v>
      </c>
      <c r="B30" s="6" t="str">
        <f t="shared" si="1"/>
        <v>Sat</v>
      </c>
      <c r="C30" s="6" t="s">
        <v>57</v>
      </c>
      <c r="D30" s="6" t="s">
        <v>83</v>
      </c>
      <c r="E30" s="6" t="s">
        <v>71</v>
      </c>
      <c r="F30" s="6">
        <v>2.026686303E9</v>
      </c>
      <c r="G30" s="6" t="s">
        <v>29</v>
      </c>
      <c r="H30" s="6">
        <v>37.0</v>
      </c>
      <c r="I30" s="6">
        <v>37.0</v>
      </c>
      <c r="J30" s="6">
        <v>5.0</v>
      </c>
      <c r="K30" s="6">
        <v>4.0</v>
      </c>
      <c r="L30" s="6">
        <f t="shared" si="2"/>
        <v>42</v>
      </c>
      <c r="M30" s="6" t="s">
        <v>32</v>
      </c>
      <c r="N30" s="8" t="s">
        <v>33</v>
      </c>
    </row>
    <row r="31" ht="15.0" customHeight="1">
      <c r="A31" s="5">
        <v>46109.0</v>
      </c>
      <c r="B31" s="6" t="str">
        <f t="shared" si="1"/>
        <v>Sat</v>
      </c>
      <c r="C31" s="6" t="s">
        <v>76</v>
      </c>
      <c r="D31" s="6" t="s">
        <v>85</v>
      </c>
      <c r="E31" s="6" t="s">
        <v>47</v>
      </c>
      <c r="F31" s="6">
        <v>2.026169402E9</v>
      </c>
      <c r="G31" s="6" t="s">
        <v>29</v>
      </c>
      <c r="H31" s="6">
        <v>52.0</v>
      </c>
      <c r="I31" s="6">
        <v>51.0</v>
      </c>
      <c r="J31" s="6">
        <v>9.0</v>
      </c>
      <c r="K31" s="6">
        <v>8.0</v>
      </c>
      <c r="L31" s="6">
        <f t="shared" si="2"/>
        <v>61</v>
      </c>
      <c r="M31" s="6" t="s">
        <v>32</v>
      </c>
      <c r="N31" s="8" t="s">
        <v>33</v>
      </c>
    </row>
    <row r="32" ht="15.0" customHeight="1">
      <c r="A32" s="5">
        <v>46109.0</v>
      </c>
      <c r="B32" s="6" t="str">
        <f t="shared" si="1"/>
        <v>Sat</v>
      </c>
      <c r="C32" s="6" t="s">
        <v>26</v>
      </c>
      <c r="D32" s="6" t="s">
        <v>27</v>
      </c>
      <c r="E32" s="6" t="s">
        <v>28</v>
      </c>
      <c r="F32" s="6">
        <v>2.026702927E9</v>
      </c>
      <c r="G32" s="6" t="s">
        <v>29</v>
      </c>
      <c r="H32" s="6">
        <v>39.0</v>
      </c>
      <c r="I32" s="6">
        <v>38.0</v>
      </c>
      <c r="J32" s="6">
        <v>4.0</v>
      </c>
      <c r="K32" s="6">
        <v>4.0</v>
      </c>
      <c r="L32" s="6">
        <f t="shared" si="2"/>
        <v>43</v>
      </c>
      <c r="M32" s="6" t="s">
        <v>32</v>
      </c>
      <c r="N32" s="8" t="s">
        <v>33</v>
      </c>
    </row>
    <row r="33" ht="15.0" customHeight="1">
      <c r="A33" s="5">
        <v>46109.0</v>
      </c>
      <c r="B33" s="6" t="str">
        <f t="shared" si="1"/>
        <v>Sat</v>
      </c>
      <c r="C33" s="6" t="s">
        <v>64</v>
      </c>
      <c r="D33" s="6" t="s">
        <v>87</v>
      </c>
      <c r="E33" s="6" t="s">
        <v>88</v>
      </c>
      <c r="F33" s="6">
        <v>2.026058402E9</v>
      </c>
      <c r="G33" s="6" t="s">
        <v>29</v>
      </c>
      <c r="H33" s="6">
        <v>64.0</v>
      </c>
      <c r="I33" s="6">
        <v>64.0</v>
      </c>
      <c r="J33" s="6">
        <v>15.0</v>
      </c>
      <c r="K33" s="6">
        <v>14.0</v>
      </c>
      <c r="L33" s="6">
        <f t="shared" si="2"/>
        <v>79</v>
      </c>
      <c r="M33" s="6" t="s">
        <v>32</v>
      </c>
      <c r="N33" s="8" t="s">
        <v>33</v>
      </c>
    </row>
    <row r="34" ht="15.0" customHeight="1">
      <c r="A34" s="5">
        <v>46110.0</v>
      </c>
      <c r="B34" s="6" t="str">
        <f t="shared" si="1"/>
        <v>Sun</v>
      </c>
      <c r="C34" s="6" t="s">
        <v>26</v>
      </c>
      <c r="D34" s="6" t="s">
        <v>27</v>
      </c>
      <c r="E34" s="6" t="s">
        <v>28</v>
      </c>
      <c r="F34" s="6">
        <v>2.026702928E9</v>
      </c>
      <c r="G34" s="6" t="s">
        <v>29</v>
      </c>
      <c r="H34" s="6">
        <v>38.0</v>
      </c>
      <c r="I34" s="6">
        <v>36.0</v>
      </c>
      <c r="J34" s="6">
        <v>0.0</v>
      </c>
      <c r="K34" s="6">
        <v>0.0</v>
      </c>
      <c r="L34" s="6">
        <f t="shared" si="2"/>
        <v>38</v>
      </c>
      <c r="M34" s="6" t="s">
        <v>32</v>
      </c>
      <c r="N34" s="8" t="s">
        <v>33</v>
      </c>
    </row>
    <row r="35" ht="15.0" customHeight="1">
      <c r="A35" s="5">
        <v>46110.0</v>
      </c>
      <c r="B35" s="6" t="str">
        <f t="shared" si="1"/>
        <v>Sun</v>
      </c>
      <c r="C35" s="6" t="s">
        <v>57</v>
      </c>
      <c r="D35" s="6" t="s">
        <v>83</v>
      </c>
      <c r="E35" s="6" t="s">
        <v>71</v>
      </c>
      <c r="F35" s="6">
        <v>2.026686304E9</v>
      </c>
      <c r="G35" s="6" t="s">
        <v>29</v>
      </c>
      <c r="H35" s="6">
        <v>33.0</v>
      </c>
      <c r="I35" s="6">
        <v>32.0</v>
      </c>
      <c r="J35" s="6">
        <v>3.0</v>
      </c>
      <c r="K35" s="6">
        <v>3.0</v>
      </c>
      <c r="L35" s="6">
        <f t="shared" si="2"/>
        <v>36</v>
      </c>
      <c r="M35" s="6" t="s">
        <v>32</v>
      </c>
      <c r="N35" s="8" t="s">
        <v>33</v>
      </c>
    </row>
    <row r="36" ht="15.0" customHeight="1">
      <c r="A36" s="5">
        <v>46110.0</v>
      </c>
      <c r="B36" s="6" t="str">
        <f t="shared" si="1"/>
        <v>Sun</v>
      </c>
      <c r="C36" s="6" t="s">
        <v>76</v>
      </c>
      <c r="D36" s="6" t="s">
        <v>85</v>
      </c>
      <c r="E36" s="6" t="s">
        <v>47</v>
      </c>
      <c r="F36" s="6">
        <v>2.026169401E9</v>
      </c>
      <c r="G36" s="6" t="s">
        <v>29</v>
      </c>
      <c r="H36" s="6">
        <v>52.0</v>
      </c>
      <c r="I36" s="6">
        <v>47.0</v>
      </c>
      <c r="J36" s="6">
        <v>4.0</v>
      </c>
      <c r="K36" s="6">
        <v>3.0</v>
      </c>
      <c r="L36" s="6">
        <f t="shared" si="2"/>
        <v>56</v>
      </c>
      <c r="M36" s="6" t="s">
        <v>32</v>
      </c>
      <c r="N36" s="8" t="s">
        <v>33</v>
      </c>
    </row>
    <row r="37" ht="15.0" customHeight="1">
      <c r="A37" s="5">
        <v>46110.0</v>
      </c>
      <c r="B37" s="6" t="str">
        <f t="shared" si="1"/>
        <v>Sun</v>
      </c>
      <c r="C37" s="6" t="s">
        <v>64</v>
      </c>
      <c r="D37" s="6" t="s">
        <v>87</v>
      </c>
      <c r="E37" s="6" t="s">
        <v>88</v>
      </c>
      <c r="F37" s="6">
        <v>2.026058403E9</v>
      </c>
      <c r="G37" s="6" t="s">
        <v>29</v>
      </c>
      <c r="H37" s="6">
        <v>67.0</v>
      </c>
      <c r="I37" s="6">
        <v>64.0</v>
      </c>
      <c r="J37" s="6">
        <v>14.0</v>
      </c>
      <c r="K37" s="6">
        <v>14.0</v>
      </c>
      <c r="L37" s="6">
        <f t="shared" si="2"/>
        <v>81</v>
      </c>
      <c r="M37" s="6" t="s">
        <v>32</v>
      </c>
      <c r="N37" s="8" t="s">
        <v>33</v>
      </c>
    </row>
    <row r="38" ht="15.0" customHeight="1">
      <c r="A38" s="5">
        <v>46110.0</v>
      </c>
      <c r="B38" s="6" t="str">
        <f t="shared" si="1"/>
        <v>Sun</v>
      </c>
      <c r="C38" s="6" t="s">
        <v>82</v>
      </c>
      <c r="D38" s="6" t="s">
        <v>36</v>
      </c>
      <c r="E38" s="6" t="s">
        <v>37</v>
      </c>
      <c r="F38" s="6">
        <v>2.026268704E9</v>
      </c>
      <c r="G38" s="6" t="s">
        <v>29</v>
      </c>
      <c r="H38" s="6">
        <v>49.0</v>
      </c>
      <c r="I38" s="6">
        <v>48.0</v>
      </c>
      <c r="J38" s="6">
        <v>8.0</v>
      </c>
      <c r="K38" s="6">
        <v>7.0</v>
      </c>
      <c r="L38" s="6">
        <f t="shared" si="2"/>
        <v>57</v>
      </c>
      <c r="M38" s="6" t="s">
        <v>32</v>
      </c>
      <c r="N38" s="8" t="s">
        <v>33</v>
      </c>
    </row>
    <row r="39" ht="15.0" customHeight="1">
      <c r="A39" s="5">
        <v>46116.0</v>
      </c>
      <c r="B39" s="6" t="str">
        <f t="shared" si="1"/>
        <v>Sat</v>
      </c>
      <c r="C39" s="6" t="s">
        <v>90</v>
      </c>
      <c r="D39" s="6" t="s">
        <v>91</v>
      </c>
      <c r="E39" s="6" t="s">
        <v>92</v>
      </c>
      <c r="F39" s="6">
        <v>2.026283907E9</v>
      </c>
      <c r="G39" s="6" t="s">
        <v>29</v>
      </c>
      <c r="H39" s="6">
        <v>18.0</v>
      </c>
      <c r="I39" s="6">
        <v>18.0</v>
      </c>
      <c r="J39" s="6">
        <v>8.0</v>
      </c>
      <c r="K39" s="6">
        <v>8.0</v>
      </c>
      <c r="L39" s="6">
        <f t="shared" si="2"/>
        <v>26</v>
      </c>
      <c r="M39" s="6" t="s">
        <v>32</v>
      </c>
      <c r="N39" s="8" t="s">
        <v>33</v>
      </c>
    </row>
    <row r="40" ht="15.0" customHeight="1">
      <c r="A40" s="5">
        <v>46116.0</v>
      </c>
      <c r="B40" s="6" t="str">
        <f t="shared" si="1"/>
        <v>Sat</v>
      </c>
      <c r="C40" s="6" t="s">
        <v>67</v>
      </c>
      <c r="D40" s="6" t="s">
        <v>93</v>
      </c>
      <c r="E40" s="6" t="s">
        <v>94</v>
      </c>
      <c r="F40" s="6">
        <v>2.026259701E9</v>
      </c>
      <c r="G40" s="6" t="s">
        <v>29</v>
      </c>
      <c r="H40" s="6">
        <v>36.0</v>
      </c>
      <c r="I40" s="6">
        <v>36.0</v>
      </c>
      <c r="J40" s="6"/>
      <c r="K40" s="6"/>
      <c r="L40" s="6">
        <f t="shared" si="2"/>
        <v>36</v>
      </c>
      <c r="M40" s="6" t="s">
        <v>32</v>
      </c>
      <c r="N40" s="8" t="s">
        <v>33</v>
      </c>
    </row>
    <row r="41" ht="15.0" customHeight="1">
      <c r="A41" s="5">
        <v>46117.0</v>
      </c>
      <c r="B41" s="6" t="str">
        <f t="shared" si="1"/>
        <v>Sun</v>
      </c>
      <c r="C41" s="6" t="s">
        <v>90</v>
      </c>
      <c r="D41" s="6" t="s">
        <v>91</v>
      </c>
      <c r="E41" s="6" t="s">
        <v>92</v>
      </c>
      <c r="F41" s="6">
        <v>2.026283908E9</v>
      </c>
      <c r="G41" s="6" t="s">
        <v>29</v>
      </c>
      <c r="H41" s="6">
        <v>13.0</v>
      </c>
      <c r="I41" s="6">
        <v>13.0</v>
      </c>
      <c r="J41" s="6">
        <v>2.0</v>
      </c>
      <c r="K41" s="6">
        <v>2.0</v>
      </c>
      <c r="L41" s="6">
        <f t="shared" si="2"/>
        <v>15</v>
      </c>
      <c r="M41" s="6" t="s">
        <v>32</v>
      </c>
      <c r="N41" s="8" t="s">
        <v>33</v>
      </c>
    </row>
    <row r="42" ht="15.0" customHeight="1">
      <c r="A42" s="5">
        <v>46121.0</v>
      </c>
      <c r="B42" s="6" t="str">
        <f t="shared" si="1"/>
        <v>Thu</v>
      </c>
      <c r="C42" s="6" t="s">
        <v>58</v>
      </c>
      <c r="D42" s="6" t="s">
        <v>59</v>
      </c>
      <c r="E42" s="6" t="s">
        <v>37</v>
      </c>
      <c r="F42" s="6">
        <v>2.026281106E9</v>
      </c>
      <c r="G42" s="6" t="s">
        <v>29</v>
      </c>
      <c r="H42" s="6">
        <v>36.0</v>
      </c>
      <c r="I42" s="6">
        <v>35.0</v>
      </c>
      <c r="J42" s="6"/>
      <c r="K42" s="6"/>
      <c r="L42" s="6">
        <f t="shared" si="2"/>
        <v>36</v>
      </c>
      <c r="M42" s="6" t="s">
        <v>32</v>
      </c>
      <c r="N42" s="8" t="s">
        <v>33</v>
      </c>
    </row>
    <row r="43" ht="15.0" customHeight="1">
      <c r="A43" s="5">
        <v>46123.0</v>
      </c>
      <c r="B43" s="6" t="str">
        <f t="shared" si="1"/>
        <v>Sat</v>
      </c>
      <c r="C43" s="6" t="s">
        <v>97</v>
      </c>
      <c r="D43" s="6" t="s">
        <v>91</v>
      </c>
      <c r="E43" s="6" t="s">
        <v>92</v>
      </c>
      <c r="F43" s="6">
        <v>2.026288901E9</v>
      </c>
      <c r="G43" s="6" t="s">
        <v>29</v>
      </c>
      <c r="H43" s="6">
        <v>27.0</v>
      </c>
      <c r="I43" s="6">
        <v>26.0</v>
      </c>
      <c r="J43" s="6">
        <v>9.0</v>
      </c>
      <c r="K43" s="6">
        <v>9.0</v>
      </c>
      <c r="L43" s="6">
        <f t="shared" si="2"/>
        <v>36</v>
      </c>
      <c r="M43" s="6" t="s">
        <v>32</v>
      </c>
      <c r="N43" s="8" t="s">
        <v>33</v>
      </c>
    </row>
    <row r="44" ht="15.0" customHeight="1">
      <c r="A44" s="5">
        <v>46123.0</v>
      </c>
      <c r="B44" s="6" t="str">
        <f t="shared" si="1"/>
        <v>Sat</v>
      </c>
      <c r="C44" s="6" t="s">
        <v>81</v>
      </c>
      <c r="D44" s="6" t="s">
        <v>99</v>
      </c>
      <c r="E44" s="6" t="s">
        <v>88</v>
      </c>
      <c r="F44" s="6">
        <v>2.026265201E9</v>
      </c>
      <c r="G44" s="6" t="s">
        <v>29</v>
      </c>
      <c r="H44" s="6">
        <v>52.0</v>
      </c>
      <c r="I44" s="6">
        <v>51.0</v>
      </c>
      <c r="J44" s="6">
        <v>13.0</v>
      </c>
      <c r="K44" s="6">
        <v>13.0</v>
      </c>
      <c r="L44" s="6">
        <f t="shared" si="2"/>
        <v>65</v>
      </c>
      <c r="M44" s="6" t="s">
        <v>32</v>
      </c>
      <c r="N44" s="8" t="s">
        <v>33</v>
      </c>
    </row>
    <row r="45" ht="15.0" customHeight="1">
      <c r="A45" s="5">
        <v>46123.0</v>
      </c>
      <c r="B45" s="6" t="str">
        <f t="shared" si="1"/>
        <v>Sat</v>
      </c>
      <c r="C45" s="6" t="s">
        <v>49</v>
      </c>
      <c r="D45" s="6" t="s">
        <v>100</v>
      </c>
      <c r="E45" s="6" t="s">
        <v>47</v>
      </c>
      <c r="F45" s="6">
        <v>2.026295406E9</v>
      </c>
      <c r="G45" s="6" t="s">
        <v>29</v>
      </c>
      <c r="H45" s="6">
        <v>37.0</v>
      </c>
      <c r="I45" s="6">
        <v>37.0</v>
      </c>
      <c r="J45" s="6">
        <v>9.0</v>
      </c>
      <c r="K45" s="6">
        <v>9.0</v>
      </c>
      <c r="L45" s="6">
        <f t="shared" si="2"/>
        <v>46</v>
      </c>
      <c r="M45" s="6" t="s">
        <v>32</v>
      </c>
      <c r="N45" s="8" t="s">
        <v>33</v>
      </c>
    </row>
    <row r="46" ht="15.0" customHeight="1">
      <c r="A46" s="5">
        <v>46124.0</v>
      </c>
      <c r="B46" s="6" t="str">
        <f t="shared" si="1"/>
        <v>Sun</v>
      </c>
      <c r="C46" s="6" t="s">
        <v>97</v>
      </c>
      <c r="D46" s="6" t="s">
        <v>91</v>
      </c>
      <c r="E46" s="6" t="s">
        <v>92</v>
      </c>
      <c r="F46" s="6">
        <v>2.026288902E9</v>
      </c>
      <c r="G46" s="6" t="s">
        <v>29</v>
      </c>
      <c r="H46" s="6">
        <v>31.0</v>
      </c>
      <c r="I46" s="6">
        <v>30.0</v>
      </c>
      <c r="J46" s="6">
        <v>6.0</v>
      </c>
      <c r="K46" s="6">
        <v>6.0</v>
      </c>
      <c r="L46" s="6">
        <f t="shared" si="2"/>
        <v>37</v>
      </c>
      <c r="M46" s="6" t="s">
        <v>32</v>
      </c>
      <c r="N46" s="8" t="s">
        <v>33</v>
      </c>
    </row>
    <row r="47" ht="15.0" customHeight="1">
      <c r="A47" s="5">
        <v>46124.0</v>
      </c>
      <c r="B47" s="6" t="str">
        <f t="shared" si="1"/>
        <v>Sun</v>
      </c>
      <c r="C47" s="6" t="s">
        <v>81</v>
      </c>
      <c r="D47" s="6" t="s">
        <v>99</v>
      </c>
      <c r="E47" s="6" t="s">
        <v>88</v>
      </c>
      <c r="F47" s="6">
        <v>2.026265202E9</v>
      </c>
      <c r="G47" s="6" t="s">
        <v>29</v>
      </c>
      <c r="H47" s="6">
        <v>46.0</v>
      </c>
      <c r="I47" s="6">
        <v>44.0</v>
      </c>
      <c r="J47" s="6">
        <v>3.0</v>
      </c>
      <c r="K47" s="6">
        <v>3.0</v>
      </c>
      <c r="L47" s="6">
        <f t="shared" si="2"/>
        <v>49</v>
      </c>
      <c r="M47" s="6" t="s">
        <v>32</v>
      </c>
      <c r="N47" s="8" t="s">
        <v>33</v>
      </c>
    </row>
    <row r="48" ht="15.0" customHeight="1">
      <c r="A48" s="5">
        <v>46124.0</v>
      </c>
      <c r="B48" s="6" t="str">
        <f t="shared" si="1"/>
        <v>Sun</v>
      </c>
      <c r="C48" s="6" t="s">
        <v>72</v>
      </c>
      <c r="D48" s="6" t="s">
        <v>101</v>
      </c>
      <c r="E48" s="6" t="s">
        <v>71</v>
      </c>
      <c r="F48" s="6">
        <v>2.026074707E9</v>
      </c>
      <c r="G48" s="6" t="s">
        <v>102</v>
      </c>
      <c r="H48" s="6">
        <v>77.0</v>
      </c>
      <c r="I48" s="6">
        <v>74.0</v>
      </c>
      <c r="J48" s="6"/>
      <c r="K48" s="6"/>
      <c r="L48" s="6">
        <f t="shared" si="2"/>
        <v>77</v>
      </c>
      <c r="M48" s="6" t="s">
        <v>32</v>
      </c>
      <c r="N48" s="8" t="s">
        <v>33</v>
      </c>
    </row>
    <row r="49" ht="15.0" customHeight="1">
      <c r="A49" s="5">
        <v>46124.0</v>
      </c>
      <c r="B49" s="6" t="str">
        <f t="shared" si="1"/>
        <v>Sun</v>
      </c>
      <c r="C49" s="6" t="s">
        <v>49</v>
      </c>
      <c r="D49" s="6" t="s">
        <v>100</v>
      </c>
      <c r="E49" s="6" t="s">
        <v>47</v>
      </c>
      <c r="F49" s="6">
        <v>2.026295407E9</v>
      </c>
      <c r="G49" s="6" t="s">
        <v>29</v>
      </c>
      <c r="H49" s="6">
        <v>40.0</v>
      </c>
      <c r="I49" s="6">
        <v>40.0</v>
      </c>
      <c r="J49" s="6">
        <v>3.0</v>
      </c>
      <c r="K49" s="6">
        <v>3.0</v>
      </c>
      <c r="L49" s="6">
        <f t="shared" si="2"/>
        <v>43</v>
      </c>
      <c r="M49" s="6" t="s">
        <v>32</v>
      </c>
      <c r="N49" s="8" t="s">
        <v>33</v>
      </c>
    </row>
    <row r="50" ht="15.0" customHeight="1">
      <c r="A50" s="5">
        <v>46130.0</v>
      </c>
      <c r="B50" s="6" t="str">
        <f t="shared" si="1"/>
        <v>Sat</v>
      </c>
      <c r="C50" s="6" t="s">
        <v>89</v>
      </c>
      <c r="D50" s="6" t="s">
        <v>83</v>
      </c>
      <c r="E50" s="6" t="s">
        <v>71</v>
      </c>
      <c r="F50" s="6">
        <v>2.026325804E9</v>
      </c>
      <c r="G50" s="6" t="s">
        <v>29</v>
      </c>
      <c r="H50" s="6">
        <v>42.0</v>
      </c>
      <c r="I50" s="6">
        <v>40.0</v>
      </c>
      <c r="J50" s="6">
        <v>6.0</v>
      </c>
      <c r="K50" s="6">
        <v>6.0</v>
      </c>
      <c r="L50" s="6">
        <f t="shared" si="2"/>
        <v>48</v>
      </c>
      <c r="M50" s="6" t="s">
        <v>32</v>
      </c>
      <c r="N50" s="8" t="s">
        <v>33</v>
      </c>
    </row>
    <row r="51" ht="15.0" customHeight="1">
      <c r="A51" s="5">
        <v>46130.0</v>
      </c>
      <c r="B51" s="6" t="str">
        <f t="shared" si="1"/>
        <v>Sat</v>
      </c>
      <c r="C51" s="6" t="s">
        <v>105</v>
      </c>
      <c r="D51" s="6" t="s">
        <v>106</v>
      </c>
      <c r="E51" s="6" t="s">
        <v>107</v>
      </c>
      <c r="F51" s="6">
        <v>2.026271203E9</v>
      </c>
      <c r="G51" s="6" t="s">
        <v>29</v>
      </c>
      <c r="H51" s="6">
        <v>15.0</v>
      </c>
      <c r="I51" s="6">
        <v>15.0</v>
      </c>
      <c r="J51" s="6">
        <v>1.0</v>
      </c>
      <c r="K51" s="6">
        <v>1.0</v>
      </c>
      <c r="L51" s="6">
        <f t="shared" si="2"/>
        <v>16</v>
      </c>
      <c r="M51" s="6" t="s">
        <v>32</v>
      </c>
      <c r="N51" s="8" t="s">
        <v>33</v>
      </c>
    </row>
    <row r="52" ht="15.0" customHeight="1">
      <c r="A52" s="5">
        <v>46131.0</v>
      </c>
      <c r="B52" s="6" t="str">
        <f t="shared" si="1"/>
        <v>Sun</v>
      </c>
      <c r="C52" s="6" t="s">
        <v>105</v>
      </c>
      <c r="D52" s="6" t="s">
        <v>106</v>
      </c>
      <c r="E52" s="6" t="s">
        <v>107</v>
      </c>
      <c r="F52" s="6">
        <v>2.026271204E9</v>
      </c>
      <c r="G52" s="6" t="s">
        <v>29</v>
      </c>
      <c r="H52" s="6">
        <v>12.0</v>
      </c>
      <c r="I52" s="6">
        <v>12.0</v>
      </c>
      <c r="J52" s="6">
        <v>4.0</v>
      </c>
      <c r="K52" s="6">
        <v>4.0</v>
      </c>
      <c r="L52" s="6">
        <f t="shared" si="2"/>
        <v>16</v>
      </c>
      <c r="M52" s="6" t="s">
        <v>32</v>
      </c>
      <c r="N52" s="8" t="s">
        <v>33</v>
      </c>
    </row>
    <row r="53" ht="15.0" customHeight="1">
      <c r="A53" s="5">
        <v>46131.0</v>
      </c>
      <c r="B53" s="6" t="str">
        <f t="shared" si="1"/>
        <v>Sun</v>
      </c>
      <c r="C53" s="6" t="s">
        <v>89</v>
      </c>
      <c r="D53" s="6" t="s">
        <v>83</v>
      </c>
      <c r="E53" s="6" t="s">
        <v>71</v>
      </c>
      <c r="F53" s="6">
        <v>2.026325805E9</v>
      </c>
      <c r="G53" s="6" t="s">
        <v>29</v>
      </c>
      <c r="H53" s="6">
        <v>36.0</v>
      </c>
      <c r="I53" s="6">
        <v>35.0</v>
      </c>
      <c r="J53" s="6">
        <v>4.0</v>
      </c>
      <c r="K53" s="6">
        <v>4.0</v>
      </c>
      <c r="L53" s="6">
        <f t="shared" si="2"/>
        <v>40</v>
      </c>
      <c r="M53" s="6" t="s">
        <v>32</v>
      </c>
      <c r="N53" s="8" t="s">
        <v>33</v>
      </c>
    </row>
    <row r="54" ht="15.0" customHeight="1">
      <c r="A54" s="5">
        <v>46137.0</v>
      </c>
      <c r="B54" s="6" t="str">
        <f t="shared" si="1"/>
        <v>Sat</v>
      </c>
      <c r="C54" s="6" t="s">
        <v>74</v>
      </c>
      <c r="D54" s="6" t="s">
        <v>109</v>
      </c>
      <c r="E54" s="6" t="s">
        <v>110</v>
      </c>
      <c r="F54" s="6">
        <v>2.026262902E9</v>
      </c>
      <c r="G54" s="6" t="s">
        <v>29</v>
      </c>
      <c r="H54" s="6">
        <v>20.0</v>
      </c>
      <c r="I54" s="6">
        <v>20.0</v>
      </c>
      <c r="J54" s="6">
        <v>5.0</v>
      </c>
      <c r="K54" s="6">
        <v>5.0</v>
      </c>
      <c r="L54" s="6">
        <f t="shared" si="2"/>
        <v>25</v>
      </c>
      <c r="M54" s="6" t="s">
        <v>32</v>
      </c>
      <c r="N54" s="8" t="s">
        <v>33</v>
      </c>
    </row>
    <row r="55" ht="15.0" customHeight="1">
      <c r="A55" s="5">
        <v>46138.0</v>
      </c>
      <c r="B55" s="6" t="str">
        <f t="shared" si="1"/>
        <v>Sun</v>
      </c>
      <c r="C55" s="6" t="s">
        <v>74</v>
      </c>
      <c r="D55" s="6" t="s">
        <v>109</v>
      </c>
      <c r="E55" s="6" t="s">
        <v>110</v>
      </c>
      <c r="F55" s="6">
        <v>2.026262901E9</v>
      </c>
      <c r="G55" s="6" t="s">
        <v>29</v>
      </c>
      <c r="H55" s="6">
        <v>18.0</v>
      </c>
      <c r="I55" s="6">
        <v>18.0</v>
      </c>
      <c r="J55" s="6">
        <v>7.0</v>
      </c>
      <c r="K55" s="6">
        <v>5.0</v>
      </c>
      <c r="L55" s="6">
        <f t="shared" si="2"/>
        <v>25</v>
      </c>
      <c r="M55" s="6" t="s">
        <v>32</v>
      </c>
      <c r="N55" s="8" t="s">
        <v>33</v>
      </c>
    </row>
    <row r="56" ht="15.0" customHeight="1">
      <c r="A56" s="5">
        <v>46144.0</v>
      </c>
      <c r="B56" s="6" t="str">
        <f t="shared" si="1"/>
        <v>Sat</v>
      </c>
      <c r="C56" s="6" t="s">
        <v>112</v>
      </c>
      <c r="D56" s="6" t="s">
        <v>113</v>
      </c>
      <c r="E56" s="6" t="s">
        <v>114</v>
      </c>
      <c r="F56" s="6">
        <v>2.026719404E9</v>
      </c>
      <c r="G56" s="6" t="s">
        <v>29</v>
      </c>
      <c r="H56" s="6">
        <v>16.0</v>
      </c>
      <c r="I56" s="6">
        <v>16.0</v>
      </c>
      <c r="J56" s="6">
        <v>7.0</v>
      </c>
      <c r="K56" s="6">
        <v>7.0</v>
      </c>
      <c r="L56" s="6">
        <f t="shared" si="2"/>
        <v>23</v>
      </c>
      <c r="M56" s="6" t="s">
        <v>32</v>
      </c>
      <c r="N56" s="8" t="s">
        <v>33</v>
      </c>
    </row>
    <row r="57" ht="15.0" customHeight="1">
      <c r="A57" s="5">
        <v>46144.0</v>
      </c>
      <c r="B57" s="6" t="str">
        <f t="shared" si="1"/>
        <v>Sat</v>
      </c>
      <c r="C57" s="6" t="s">
        <v>84</v>
      </c>
      <c r="D57" s="6" t="s">
        <v>115</v>
      </c>
      <c r="E57" s="6" t="s">
        <v>92</v>
      </c>
      <c r="F57" s="6">
        <v>2.026671102E9</v>
      </c>
      <c r="G57" s="6" t="s">
        <v>29</v>
      </c>
      <c r="H57" s="6">
        <v>26.0</v>
      </c>
      <c r="I57" s="6">
        <v>26.0</v>
      </c>
      <c r="J57" s="6">
        <v>2.0</v>
      </c>
      <c r="K57" s="6">
        <v>2.0</v>
      </c>
      <c r="L57" s="6">
        <f t="shared" si="2"/>
        <v>28</v>
      </c>
      <c r="M57" s="6" t="s">
        <v>32</v>
      </c>
      <c r="N57" s="8" t="s">
        <v>33</v>
      </c>
    </row>
    <row r="58" ht="15.0" customHeight="1">
      <c r="A58" s="5">
        <v>46145.0</v>
      </c>
      <c r="B58" s="6" t="str">
        <f t="shared" si="1"/>
        <v>Sun</v>
      </c>
      <c r="C58" s="6" t="s">
        <v>112</v>
      </c>
      <c r="D58" s="6" t="s">
        <v>113</v>
      </c>
      <c r="E58" s="6" t="s">
        <v>114</v>
      </c>
      <c r="F58" s="6">
        <v>2.026719405E9</v>
      </c>
      <c r="G58" s="6" t="s">
        <v>29</v>
      </c>
      <c r="H58" s="6">
        <v>16.0</v>
      </c>
      <c r="I58" s="6">
        <v>16.0</v>
      </c>
      <c r="J58" s="6">
        <v>9.0</v>
      </c>
      <c r="K58" s="6">
        <v>9.0</v>
      </c>
      <c r="L58" s="6">
        <f t="shared" si="2"/>
        <v>25</v>
      </c>
      <c r="M58" s="6" t="s">
        <v>32</v>
      </c>
      <c r="N58" s="8" t="s">
        <v>33</v>
      </c>
    </row>
    <row r="59" ht="15.0" customHeight="1">
      <c r="A59" s="5">
        <v>46145.0</v>
      </c>
      <c r="B59" s="6" t="str">
        <f t="shared" si="1"/>
        <v>Sun</v>
      </c>
      <c r="C59" s="6" t="s">
        <v>84</v>
      </c>
      <c r="D59" s="6" t="s">
        <v>115</v>
      </c>
      <c r="E59" s="6" t="s">
        <v>92</v>
      </c>
      <c r="F59" s="6">
        <v>2.026671101E9</v>
      </c>
      <c r="G59" s="6" t="s">
        <v>29</v>
      </c>
      <c r="H59" s="6">
        <v>24.0</v>
      </c>
      <c r="I59" s="6">
        <v>24.0</v>
      </c>
      <c r="J59" s="6">
        <v>2.0</v>
      </c>
      <c r="K59" s="6">
        <v>2.0</v>
      </c>
      <c r="L59" s="6">
        <f t="shared" si="2"/>
        <v>26</v>
      </c>
      <c r="M59" s="6" t="s">
        <v>32</v>
      </c>
      <c r="N59" s="8" t="s">
        <v>33</v>
      </c>
    </row>
    <row r="60" ht="15.0" customHeight="1">
      <c r="A60" s="5">
        <v>46151.0</v>
      </c>
      <c r="B60" s="6" t="str">
        <f t="shared" si="1"/>
        <v>Sat</v>
      </c>
      <c r="C60" s="6" t="s">
        <v>117</v>
      </c>
      <c r="D60" s="6" t="s">
        <v>118</v>
      </c>
      <c r="E60" s="6" t="s">
        <v>119</v>
      </c>
      <c r="F60" s="6">
        <v>2.026135815E9</v>
      </c>
      <c r="G60" s="6" t="s">
        <v>120</v>
      </c>
      <c r="H60" s="6">
        <v>13.0</v>
      </c>
      <c r="I60" s="6">
        <v>13.0</v>
      </c>
      <c r="J60" s="6">
        <v>4.0</v>
      </c>
      <c r="K60" s="6">
        <v>4.0</v>
      </c>
      <c r="L60" s="6">
        <f t="shared" si="2"/>
        <v>17</v>
      </c>
      <c r="M60" s="6" t="s">
        <v>32</v>
      </c>
      <c r="N60" s="8" t="s">
        <v>33</v>
      </c>
    </row>
    <row r="61" ht="15.0" customHeight="1">
      <c r="A61" s="5">
        <v>46151.0</v>
      </c>
      <c r="B61" s="6" t="str">
        <f t="shared" si="1"/>
        <v>Sat</v>
      </c>
      <c r="C61" s="6" t="s">
        <v>63</v>
      </c>
      <c r="D61" s="6" t="s">
        <v>70</v>
      </c>
      <c r="E61" s="6" t="s">
        <v>71</v>
      </c>
      <c r="F61" s="6">
        <v>2.026184308E9</v>
      </c>
      <c r="G61" s="6" t="s">
        <v>121</v>
      </c>
      <c r="H61" s="6">
        <v>21.0</v>
      </c>
      <c r="I61" s="6">
        <v>21.0</v>
      </c>
      <c r="J61" s="6">
        <v>7.0</v>
      </c>
      <c r="K61" s="6">
        <v>7.0</v>
      </c>
      <c r="L61" s="6">
        <f t="shared" si="2"/>
        <v>28</v>
      </c>
      <c r="M61" s="6" t="s">
        <v>32</v>
      </c>
      <c r="N61" s="8" t="s">
        <v>33</v>
      </c>
    </row>
    <row r="62" ht="15.0" customHeight="1">
      <c r="A62" s="5">
        <v>46151.0</v>
      </c>
      <c r="B62" s="6" t="str">
        <f t="shared" si="1"/>
        <v>Sat</v>
      </c>
      <c r="C62" s="6" t="s">
        <v>111</v>
      </c>
      <c r="D62" s="6" t="s">
        <v>123</v>
      </c>
      <c r="E62" s="6" t="s">
        <v>124</v>
      </c>
      <c r="F62" s="6">
        <v>2.026653405E9</v>
      </c>
      <c r="G62" s="6" t="s">
        <v>29</v>
      </c>
      <c r="H62" s="6">
        <v>25.0</v>
      </c>
      <c r="I62" s="6">
        <v>24.0</v>
      </c>
      <c r="J62" s="6">
        <v>8.0</v>
      </c>
      <c r="K62" s="6">
        <v>8.0</v>
      </c>
      <c r="L62" s="6">
        <f t="shared" si="2"/>
        <v>33</v>
      </c>
      <c r="M62" s="6" t="s">
        <v>32</v>
      </c>
      <c r="N62" s="8" t="s">
        <v>33</v>
      </c>
    </row>
    <row r="63" ht="15.0" customHeight="1">
      <c r="A63" s="5">
        <v>46151.0</v>
      </c>
      <c r="B63" s="6" t="str">
        <f t="shared" si="1"/>
        <v>Sat</v>
      </c>
      <c r="C63" s="6" t="s">
        <v>125</v>
      </c>
      <c r="D63" s="6" t="s">
        <v>126</v>
      </c>
      <c r="E63" s="6" t="s">
        <v>127</v>
      </c>
      <c r="F63" s="6">
        <v>2.026717507E9</v>
      </c>
      <c r="G63" s="6" t="s">
        <v>29</v>
      </c>
      <c r="H63" s="6">
        <v>16.0</v>
      </c>
      <c r="I63" s="6">
        <v>16.0</v>
      </c>
      <c r="J63" s="6"/>
      <c r="K63" s="6"/>
      <c r="L63" s="6">
        <f t="shared" si="2"/>
        <v>16</v>
      </c>
      <c r="M63" s="6" t="s">
        <v>32</v>
      </c>
      <c r="N63" s="8" t="s">
        <v>33</v>
      </c>
    </row>
    <row r="64" ht="15.0" customHeight="1">
      <c r="A64" s="5">
        <v>46152.0</v>
      </c>
      <c r="B64" s="6" t="str">
        <f t="shared" si="1"/>
        <v>Sun</v>
      </c>
      <c r="C64" s="6" t="s">
        <v>63</v>
      </c>
      <c r="D64" s="6" t="s">
        <v>70</v>
      </c>
      <c r="E64" s="6" t="s">
        <v>71</v>
      </c>
      <c r="F64" s="6">
        <v>2.026184307E9</v>
      </c>
      <c r="G64" s="6" t="s">
        <v>29</v>
      </c>
      <c r="H64" s="6">
        <v>44.0</v>
      </c>
      <c r="I64" s="6">
        <v>44.0</v>
      </c>
      <c r="J64" s="6">
        <v>10.0</v>
      </c>
      <c r="K64" s="6">
        <v>10.0</v>
      </c>
      <c r="L64" s="6">
        <f t="shared" si="2"/>
        <v>54</v>
      </c>
      <c r="M64" s="6" t="s">
        <v>32</v>
      </c>
      <c r="N64" s="8" t="s">
        <v>33</v>
      </c>
    </row>
    <row r="65" ht="15.0" customHeight="1">
      <c r="A65" s="5">
        <v>46152.0</v>
      </c>
      <c r="B65" s="6" t="str">
        <f t="shared" si="1"/>
        <v>Sun</v>
      </c>
      <c r="C65" s="6" t="s">
        <v>125</v>
      </c>
      <c r="D65" s="6" t="s">
        <v>126</v>
      </c>
      <c r="E65" s="6" t="s">
        <v>127</v>
      </c>
      <c r="F65" s="6">
        <v>2.026717508E9</v>
      </c>
      <c r="G65" s="6" t="s">
        <v>29</v>
      </c>
      <c r="H65" s="6">
        <v>11.0</v>
      </c>
      <c r="I65" s="6">
        <v>11.0</v>
      </c>
      <c r="J65" s="6"/>
      <c r="K65" s="6"/>
      <c r="L65" s="6">
        <f t="shared" si="2"/>
        <v>11</v>
      </c>
      <c r="M65" s="6" t="s">
        <v>32</v>
      </c>
      <c r="N65" s="8" t="s">
        <v>33</v>
      </c>
    </row>
    <row r="66" ht="15.0" customHeight="1">
      <c r="A66" s="5">
        <v>46152.0</v>
      </c>
      <c r="B66" s="6" t="str">
        <f t="shared" si="1"/>
        <v>Sun</v>
      </c>
      <c r="C66" s="6" t="s">
        <v>111</v>
      </c>
      <c r="D66" s="6" t="s">
        <v>123</v>
      </c>
      <c r="E66" s="6" t="s">
        <v>124</v>
      </c>
      <c r="F66" s="6">
        <v>2.026653406E9</v>
      </c>
      <c r="G66" s="6" t="s">
        <v>29</v>
      </c>
      <c r="H66" s="6">
        <v>15.0</v>
      </c>
      <c r="I66" s="6">
        <v>15.0</v>
      </c>
      <c r="J66" s="6">
        <v>7.0</v>
      </c>
      <c r="K66" s="6">
        <v>7.0</v>
      </c>
      <c r="L66" s="6">
        <f t="shared" si="2"/>
        <v>22</v>
      </c>
      <c r="M66" s="6" t="s">
        <v>32</v>
      </c>
      <c r="N66" s="8" t="s">
        <v>33</v>
      </c>
    </row>
    <row r="67" ht="15.0" customHeight="1">
      <c r="A67" s="5">
        <v>46152.0</v>
      </c>
      <c r="B67" s="6" t="str">
        <f t="shared" si="1"/>
        <v>Sun</v>
      </c>
      <c r="C67" s="6" t="s">
        <v>116</v>
      </c>
      <c r="D67" s="6" t="s">
        <v>129</v>
      </c>
      <c r="E67" s="6" t="s">
        <v>130</v>
      </c>
      <c r="F67" s="6">
        <v>2.026116701E9</v>
      </c>
      <c r="G67" s="6" t="s">
        <v>131</v>
      </c>
      <c r="H67" s="6">
        <v>35.0</v>
      </c>
      <c r="I67" s="6">
        <v>33.0</v>
      </c>
      <c r="J67" s="6">
        <v>8.0</v>
      </c>
      <c r="K67" s="6">
        <v>7.0</v>
      </c>
      <c r="L67" s="6">
        <f t="shared" si="2"/>
        <v>43</v>
      </c>
      <c r="M67" s="6" t="s">
        <v>32</v>
      </c>
      <c r="N67" s="8" t="s">
        <v>33</v>
      </c>
    </row>
    <row r="68" ht="15.0" customHeight="1">
      <c r="A68" s="5">
        <v>46152.0</v>
      </c>
      <c r="B68" s="6" t="str">
        <f t="shared" si="1"/>
        <v>Sun</v>
      </c>
      <c r="C68" s="6" t="s">
        <v>116</v>
      </c>
      <c r="D68" s="6" t="s">
        <v>129</v>
      </c>
      <c r="E68" s="6" t="s">
        <v>130</v>
      </c>
      <c r="F68" s="6">
        <v>2.026116702E9</v>
      </c>
      <c r="G68" s="6" t="s">
        <v>131</v>
      </c>
      <c r="H68" s="6"/>
      <c r="I68" s="6"/>
      <c r="J68" s="6">
        <v>6.0</v>
      </c>
      <c r="K68" s="6">
        <v>6.0</v>
      </c>
      <c r="L68" s="6">
        <f t="shared" si="2"/>
        <v>6</v>
      </c>
      <c r="M68" s="6" t="s">
        <v>32</v>
      </c>
      <c r="N68" s="8" t="s">
        <v>33</v>
      </c>
    </row>
    <row r="69" ht="15.0" customHeight="1">
      <c r="A69" s="5">
        <v>46158.0</v>
      </c>
      <c r="B69" s="6" t="str">
        <f t="shared" si="1"/>
        <v>Sat</v>
      </c>
      <c r="C69" s="6" t="s">
        <v>128</v>
      </c>
      <c r="D69" s="6" t="s">
        <v>132</v>
      </c>
      <c r="E69" s="6" t="s">
        <v>133</v>
      </c>
      <c r="F69" s="6">
        <v>2.026098813E9</v>
      </c>
      <c r="G69" s="6" t="s">
        <v>29</v>
      </c>
      <c r="H69" s="6">
        <v>13.0</v>
      </c>
      <c r="I69" s="6">
        <v>13.0</v>
      </c>
      <c r="J69" s="6">
        <v>6.0</v>
      </c>
      <c r="K69" s="6">
        <v>6.0</v>
      </c>
      <c r="L69" s="6">
        <f t="shared" si="2"/>
        <v>19</v>
      </c>
      <c r="M69" s="6" t="s">
        <v>32</v>
      </c>
      <c r="N69" s="8" t="s">
        <v>33</v>
      </c>
    </row>
    <row r="70" ht="15.0" customHeight="1">
      <c r="A70" s="5">
        <v>46158.0</v>
      </c>
      <c r="B70" s="6" t="str">
        <f t="shared" si="1"/>
        <v>Sat</v>
      </c>
      <c r="C70" s="6" t="s">
        <v>98</v>
      </c>
      <c r="D70" s="6" t="s">
        <v>135</v>
      </c>
      <c r="E70" s="6" t="s">
        <v>136</v>
      </c>
      <c r="F70" s="6">
        <v>2.026268801E9</v>
      </c>
      <c r="G70" s="6" t="s">
        <v>29</v>
      </c>
      <c r="H70" s="6">
        <v>42.0</v>
      </c>
      <c r="I70" s="6">
        <v>40.0</v>
      </c>
      <c r="J70" s="6">
        <v>9.0</v>
      </c>
      <c r="K70" s="6">
        <v>9.0</v>
      </c>
      <c r="L70" s="6">
        <f t="shared" si="2"/>
        <v>51</v>
      </c>
      <c r="M70" s="6" t="s">
        <v>32</v>
      </c>
      <c r="N70" s="8" t="s">
        <v>33</v>
      </c>
    </row>
    <row r="71" ht="15.0" customHeight="1">
      <c r="A71" s="5">
        <v>46158.0</v>
      </c>
      <c r="B71" s="6" t="str">
        <f t="shared" si="1"/>
        <v>Sat</v>
      </c>
      <c r="C71" s="6" t="s">
        <v>86</v>
      </c>
      <c r="D71" s="6" t="s">
        <v>138</v>
      </c>
      <c r="E71" s="6" t="s">
        <v>139</v>
      </c>
      <c r="F71" s="6">
        <v>2.026571801E9</v>
      </c>
      <c r="G71" s="6" t="s">
        <v>29</v>
      </c>
      <c r="H71" s="6">
        <v>54.0</v>
      </c>
      <c r="I71" s="6">
        <v>51.0</v>
      </c>
      <c r="J71" s="6">
        <v>9.0</v>
      </c>
      <c r="K71" s="6">
        <v>9.0</v>
      </c>
      <c r="L71" s="6">
        <f t="shared" si="2"/>
        <v>63</v>
      </c>
      <c r="M71" s="6" t="s">
        <v>32</v>
      </c>
      <c r="N71" s="8" t="s">
        <v>33</v>
      </c>
    </row>
    <row r="72" ht="15.0" customHeight="1">
      <c r="A72" s="5">
        <v>46158.0</v>
      </c>
      <c r="B72" s="6" t="str">
        <f t="shared" si="1"/>
        <v>Sat</v>
      </c>
      <c r="C72" s="6" t="s">
        <v>141</v>
      </c>
      <c r="D72" s="6" t="s">
        <v>142</v>
      </c>
      <c r="E72" s="6" t="s">
        <v>143</v>
      </c>
      <c r="F72" s="6">
        <v>2.026694017E9</v>
      </c>
      <c r="G72" s="6" t="s">
        <v>29</v>
      </c>
      <c r="H72" s="6">
        <v>8.0</v>
      </c>
      <c r="I72" s="6">
        <v>8.0</v>
      </c>
      <c r="J72" s="6">
        <v>7.0</v>
      </c>
      <c r="K72" s="6">
        <v>6.0</v>
      </c>
      <c r="L72" s="6">
        <f t="shared" si="2"/>
        <v>15</v>
      </c>
      <c r="M72" s="6" t="s">
        <v>32</v>
      </c>
      <c r="N72" s="8" t="s">
        <v>33</v>
      </c>
    </row>
    <row r="73" ht="15.0" customHeight="1">
      <c r="A73" s="5">
        <v>46158.0</v>
      </c>
      <c r="B73" s="6" t="str">
        <f t="shared" si="1"/>
        <v>Sat</v>
      </c>
      <c r="C73" s="6" t="s">
        <v>49</v>
      </c>
      <c r="D73" s="6" t="s">
        <v>145</v>
      </c>
      <c r="E73" s="6" t="s">
        <v>47</v>
      </c>
      <c r="F73" s="6">
        <v>2.02629541E9</v>
      </c>
      <c r="G73" s="6" t="s">
        <v>29</v>
      </c>
      <c r="H73" s="6">
        <v>73.0</v>
      </c>
      <c r="I73" s="6">
        <v>73.0</v>
      </c>
      <c r="J73" s="6">
        <v>4.0</v>
      </c>
      <c r="K73" s="6">
        <v>4.0</v>
      </c>
      <c r="L73" s="6">
        <f t="shared" si="2"/>
        <v>77</v>
      </c>
      <c r="M73" s="6" t="s">
        <v>32</v>
      </c>
      <c r="N73" s="8" t="s">
        <v>33</v>
      </c>
    </row>
    <row r="74" ht="15.0" customHeight="1">
      <c r="A74" s="5">
        <v>46159.0</v>
      </c>
      <c r="B74" s="6" t="str">
        <f t="shared" si="1"/>
        <v>Sun</v>
      </c>
      <c r="C74" s="6" t="s">
        <v>86</v>
      </c>
      <c r="D74" s="6" t="s">
        <v>138</v>
      </c>
      <c r="E74" s="6" t="s">
        <v>139</v>
      </c>
      <c r="F74" s="6">
        <v>2.026571802E9</v>
      </c>
      <c r="G74" s="6" t="s">
        <v>29</v>
      </c>
      <c r="H74" s="6">
        <v>39.0</v>
      </c>
      <c r="I74" s="6">
        <v>39.0</v>
      </c>
      <c r="J74" s="6">
        <v>7.0</v>
      </c>
      <c r="K74" s="6">
        <v>7.0</v>
      </c>
      <c r="L74" s="6">
        <f t="shared" si="2"/>
        <v>46</v>
      </c>
      <c r="M74" s="6" t="s">
        <v>32</v>
      </c>
      <c r="N74" s="8" t="s">
        <v>33</v>
      </c>
    </row>
    <row r="75" ht="15.0" customHeight="1">
      <c r="A75" s="5">
        <v>46159.0</v>
      </c>
      <c r="B75" s="6" t="str">
        <f t="shared" si="1"/>
        <v>Sun</v>
      </c>
      <c r="C75" s="6" t="s">
        <v>98</v>
      </c>
      <c r="D75" s="6" t="s">
        <v>135</v>
      </c>
      <c r="E75" s="6" t="s">
        <v>136</v>
      </c>
      <c r="F75" s="6">
        <v>2.026268802E9</v>
      </c>
      <c r="G75" s="6" t="s">
        <v>29</v>
      </c>
      <c r="H75" s="6">
        <v>21.0</v>
      </c>
      <c r="I75" s="6">
        <v>18.0</v>
      </c>
      <c r="J75" s="6">
        <v>5.0</v>
      </c>
      <c r="K75" s="6">
        <v>5.0</v>
      </c>
      <c r="L75" s="6">
        <f t="shared" si="2"/>
        <v>26</v>
      </c>
      <c r="M75" s="6" t="s">
        <v>32</v>
      </c>
      <c r="N75" s="8" t="s">
        <v>33</v>
      </c>
    </row>
    <row r="76" ht="15.0" customHeight="1">
      <c r="A76" s="5">
        <v>46159.0</v>
      </c>
      <c r="B76" s="6" t="str">
        <f t="shared" si="1"/>
        <v>Sun</v>
      </c>
      <c r="C76" s="6" t="s">
        <v>128</v>
      </c>
      <c r="D76" s="6" t="s">
        <v>132</v>
      </c>
      <c r="E76" s="6" t="s">
        <v>133</v>
      </c>
      <c r="F76" s="6">
        <v>2.026098814E9</v>
      </c>
      <c r="G76" s="6" t="s">
        <v>29</v>
      </c>
      <c r="H76" s="6">
        <v>19.0</v>
      </c>
      <c r="I76" s="6">
        <v>19.0</v>
      </c>
      <c r="J76" s="6">
        <v>9.0</v>
      </c>
      <c r="K76" s="6">
        <v>9.0</v>
      </c>
      <c r="L76" s="6">
        <f t="shared" si="2"/>
        <v>28</v>
      </c>
      <c r="M76" s="6" t="s">
        <v>32</v>
      </c>
      <c r="N76" s="8" t="s">
        <v>33</v>
      </c>
    </row>
    <row r="77" ht="15.0" customHeight="1">
      <c r="A77" s="5">
        <v>46159.0</v>
      </c>
      <c r="B77" s="6" t="str">
        <f t="shared" si="1"/>
        <v>Sun</v>
      </c>
      <c r="C77" s="6" t="s">
        <v>105</v>
      </c>
      <c r="D77" s="6" t="s">
        <v>148</v>
      </c>
      <c r="E77" s="6" t="s">
        <v>107</v>
      </c>
      <c r="F77" s="6">
        <v>2.026271222E9</v>
      </c>
      <c r="G77" s="6" t="s">
        <v>29</v>
      </c>
      <c r="H77" s="6">
        <v>7.0</v>
      </c>
      <c r="I77" s="6">
        <v>6.0</v>
      </c>
      <c r="J77" s="6"/>
      <c r="K77" s="6"/>
      <c r="L77" s="6">
        <f t="shared" si="2"/>
        <v>7</v>
      </c>
      <c r="M77" s="6" t="s">
        <v>32</v>
      </c>
      <c r="N77" s="8" t="s">
        <v>33</v>
      </c>
    </row>
    <row r="78" ht="15.0" customHeight="1">
      <c r="A78" s="5">
        <v>46159.0</v>
      </c>
      <c r="B78" s="6" t="str">
        <f t="shared" si="1"/>
        <v>Sun</v>
      </c>
      <c r="C78" s="6" t="s">
        <v>149</v>
      </c>
      <c r="D78" s="6" t="s">
        <v>148</v>
      </c>
      <c r="E78" s="6" t="s">
        <v>107</v>
      </c>
      <c r="F78" s="6">
        <v>2.026192511E9</v>
      </c>
      <c r="G78" s="6" t="s">
        <v>150</v>
      </c>
      <c r="H78" s="6">
        <v>20.0</v>
      </c>
      <c r="I78" s="6">
        <v>20.0</v>
      </c>
      <c r="J78" s="6">
        <v>0.0</v>
      </c>
      <c r="K78" s="6">
        <v>0.0</v>
      </c>
      <c r="L78" s="6">
        <f t="shared" si="2"/>
        <v>20</v>
      </c>
      <c r="M78" s="6" t="s">
        <v>32</v>
      </c>
      <c r="N78" s="8" t="s">
        <v>33</v>
      </c>
    </row>
    <row r="79" ht="15.0" customHeight="1">
      <c r="A79" s="5">
        <v>46159.0</v>
      </c>
      <c r="B79" s="6" t="str">
        <f t="shared" si="1"/>
        <v>Sun</v>
      </c>
      <c r="C79" s="6" t="s">
        <v>141</v>
      </c>
      <c r="D79" s="6" t="s">
        <v>142</v>
      </c>
      <c r="E79" s="6" t="s">
        <v>143</v>
      </c>
      <c r="F79" s="6">
        <v>2.026694018E9</v>
      </c>
      <c r="G79" s="6" t="s">
        <v>29</v>
      </c>
      <c r="H79" s="6">
        <v>11.0</v>
      </c>
      <c r="I79" s="6">
        <v>11.0</v>
      </c>
      <c r="J79" s="6">
        <v>2.0</v>
      </c>
      <c r="K79" s="6">
        <v>2.0</v>
      </c>
      <c r="L79" s="6">
        <f t="shared" si="2"/>
        <v>13</v>
      </c>
      <c r="M79" s="6" t="s">
        <v>32</v>
      </c>
      <c r="N79" s="8" t="s">
        <v>33</v>
      </c>
    </row>
    <row r="80" ht="15.0" customHeight="1">
      <c r="A80" s="5">
        <v>46159.0</v>
      </c>
      <c r="B80" s="6" t="str">
        <f t="shared" si="1"/>
        <v>Sun</v>
      </c>
      <c r="C80" s="6" t="s">
        <v>49</v>
      </c>
      <c r="D80" s="6" t="s">
        <v>145</v>
      </c>
      <c r="E80" s="6" t="s">
        <v>47</v>
      </c>
      <c r="F80" s="6">
        <v>2.026295411E9</v>
      </c>
      <c r="G80" s="6" t="s">
        <v>29</v>
      </c>
      <c r="H80" s="6">
        <v>63.0</v>
      </c>
      <c r="I80" s="6">
        <v>63.0</v>
      </c>
      <c r="J80" s="6">
        <v>1.0</v>
      </c>
      <c r="K80" s="6">
        <v>1.0</v>
      </c>
      <c r="L80" s="6">
        <f t="shared" si="2"/>
        <v>64</v>
      </c>
      <c r="M80" s="6" t="s">
        <v>32</v>
      </c>
      <c r="N80" s="8" t="s">
        <v>33</v>
      </c>
    </row>
    <row r="81" ht="15.0" customHeight="1">
      <c r="A81" s="5">
        <v>46165.0</v>
      </c>
      <c r="B81" s="6" t="str">
        <f t="shared" si="1"/>
        <v>Sat</v>
      </c>
      <c r="C81" s="6" t="s">
        <v>67</v>
      </c>
      <c r="D81" s="6" t="s">
        <v>151</v>
      </c>
      <c r="E81" s="6" t="s">
        <v>94</v>
      </c>
      <c r="F81" s="6">
        <v>2.026259702E9</v>
      </c>
      <c r="G81" s="6" t="s">
        <v>29</v>
      </c>
      <c r="H81" s="6">
        <v>43.0</v>
      </c>
      <c r="I81" s="6">
        <v>35.0</v>
      </c>
      <c r="J81" s="6">
        <v>0.0</v>
      </c>
      <c r="K81" s="6">
        <v>0.0</v>
      </c>
      <c r="L81" s="6">
        <f t="shared" si="2"/>
        <v>43</v>
      </c>
      <c r="M81" s="6" t="s">
        <v>32</v>
      </c>
      <c r="N81" s="8" t="s">
        <v>33</v>
      </c>
    </row>
    <row r="82" ht="15.0" customHeight="1">
      <c r="A82" s="5">
        <v>46165.0</v>
      </c>
      <c r="B82" s="6" t="str">
        <f t="shared" si="1"/>
        <v>Sat</v>
      </c>
      <c r="C82" s="6" t="s">
        <v>80</v>
      </c>
      <c r="D82" s="6" t="s">
        <v>152</v>
      </c>
      <c r="E82" s="6" t="s">
        <v>119</v>
      </c>
      <c r="F82" s="6">
        <v>2.026260911E9</v>
      </c>
      <c r="G82" s="6" t="s">
        <v>29</v>
      </c>
      <c r="H82" s="6">
        <v>35.0</v>
      </c>
      <c r="I82" s="6">
        <v>34.0</v>
      </c>
      <c r="J82" s="6">
        <v>7.0</v>
      </c>
      <c r="K82" s="6">
        <v>7.0</v>
      </c>
      <c r="L82" s="6">
        <f t="shared" si="2"/>
        <v>42</v>
      </c>
      <c r="M82" s="6" t="s">
        <v>32</v>
      </c>
      <c r="N82" s="8" t="s">
        <v>33</v>
      </c>
    </row>
    <row r="83" ht="15.0" customHeight="1">
      <c r="A83" s="5">
        <v>46166.0</v>
      </c>
      <c r="B83" s="6" t="str">
        <f t="shared" si="1"/>
        <v>Sun</v>
      </c>
      <c r="C83" s="6" t="s">
        <v>80</v>
      </c>
      <c r="D83" s="6" t="s">
        <v>152</v>
      </c>
      <c r="E83" s="6" t="s">
        <v>119</v>
      </c>
      <c r="F83" s="6">
        <v>2.026260912E9</v>
      </c>
      <c r="G83" s="6" t="s">
        <v>29</v>
      </c>
      <c r="H83" s="6">
        <v>35.0</v>
      </c>
      <c r="I83" s="6">
        <v>32.0</v>
      </c>
      <c r="J83" s="6">
        <v>2.0</v>
      </c>
      <c r="K83" s="6">
        <v>2.0</v>
      </c>
      <c r="L83" s="6">
        <f t="shared" si="2"/>
        <v>37</v>
      </c>
      <c r="M83" s="6" t="s">
        <v>32</v>
      </c>
      <c r="N83" s="8" t="s">
        <v>33</v>
      </c>
    </row>
    <row r="84" ht="15.0" customHeight="1">
      <c r="A84" s="5">
        <v>46166.0</v>
      </c>
      <c r="B84" s="6" t="str">
        <f t="shared" si="1"/>
        <v>Sun</v>
      </c>
      <c r="C84" s="6" t="s">
        <v>67</v>
      </c>
      <c r="D84" s="6" t="s">
        <v>151</v>
      </c>
      <c r="E84" s="6" t="s">
        <v>94</v>
      </c>
      <c r="F84" s="6">
        <v>2.026259703E9</v>
      </c>
      <c r="G84" s="6" t="s">
        <v>29</v>
      </c>
      <c r="H84" s="6">
        <v>41.0</v>
      </c>
      <c r="I84" s="6">
        <v>37.0</v>
      </c>
      <c r="J84" s="6">
        <v>1.0</v>
      </c>
      <c r="K84" s="6">
        <v>1.0</v>
      </c>
      <c r="L84" s="6">
        <f t="shared" si="2"/>
        <v>42</v>
      </c>
      <c r="M84" s="6" t="s">
        <v>32</v>
      </c>
      <c r="N84" s="8" t="s">
        <v>33</v>
      </c>
    </row>
    <row r="85" ht="15.0" customHeight="1">
      <c r="A85" s="5">
        <v>46167.0</v>
      </c>
      <c r="B85" s="6" t="str">
        <f t="shared" si="1"/>
        <v>Mon</v>
      </c>
      <c r="C85" s="6" t="s">
        <v>80</v>
      </c>
      <c r="D85" s="6" t="s">
        <v>152</v>
      </c>
      <c r="E85" s="6" t="s">
        <v>119</v>
      </c>
      <c r="F85" s="6">
        <v>2.026260913E9</v>
      </c>
      <c r="G85" s="6" t="s">
        <v>29</v>
      </c>
      <c r="H85" s="6">
        <v>34.0</v>
      </c>
      <c r="I85" s="6">
        <v>34.0</v>
      </c>
      <c r="J85" s="6">
        <v>5.0</v>
      </c>
      <c r="K85" s="6">
        <v>5.0</v>
      </c>
      <c r="L85" s="6">
        <f t="shared" si="2"/>
        <v>39</v>
      </c>
      <c r="M85" s="6" t="s">
        <v>32</v>
      </c>
      <c r="N85" s="8" t="s">
        <v>33</v>
      </c>
    </row>
    <row r="86" ht="15.0" customHeight="1">
      <c r="A86" s="5">
        <v>46172.0</v>
      </c>
      <c r="B86" s="6" t="str">
        <f t="shared" si="1"/>
        <v>Sat</v>
      </c>
      <c r="C86" s="6" t="s">
        <v>103</v>
      </c>
      <c r="D86" s="6" t="s">
        <v>59</v>
      </c>
      <c r="E86" s="6" t="s">
        <v>37</v>
      </c>
      <c r="F86" s="6">
        <v>2.026251405E9</v>
      </c>
      <c r="G86" s="6" t="s">
        <v>29</v>
      </c>
      <c r="H86" s="6">
        <v>22.0</v>
      </c>
      <c r="I86" s="6">
        <v>22.0</v>
      </c>
      <c r="J86" s="6">
        <v>7.0</v>
      </c>
      <c r="K86" s="6">
        <v>7.0</v>
      </c>
      <c r="L86" s="6">
        <f t="shared" si="2"/>
        <v>29</v>
      </c>
      <c r="M86" s="6" t="s">
        <v>32</v>
      </c>
      <c r="N86" s="8" t="s">
        <v>33</v>
      </c>
    </row>
    <row r="87" ht="15.0" customHeight="1">
      <c r="A87" s="5">
        <v>46172.0</v>
      </c>
      <c r="B87" s="6" t="str">
        <f t="shared" si="1"/>
        <v>Sat</v>
      </c>
      <c r="C87" s="6" t="s">
        <v>108</v>
      </c>
      <c r="D87" s="6" t="s">
        <v>153</v>
      </c>
      <c r="E87" s="6" t="s">
        <v>144</v>
      </c>
      <c r="F87" s="6">
        <v>2.026659304E9</v>
      </c>
      <c r="G87" s="6" t="s">
        <v>29</v>
      </c>
      <c r="H87" s="6">
        <v>6.0</v>
      </c>
      <c r="I87" s="6">
        <v>6.0</v>
      </c>
      <c r="J87" s="6">
        <v>5.0</v>
      </c>
      <c r="K87" s="6">
        <v>5.0</v>
      </c>
      <c r="L87" s="6">
        <f t="shared" si="2"/>
        <v>11</v>
      </c>
      <c r="M87" s="6" t="s">
        <v>32</v>
      </c>
      <c r="N87" s="8" t="s">
        <v>33</v>
      </c>
    </row>
    <row r="88" ht="15.0" customHeight="1">
      <c r="A88" s="5">
        <v>46173.0</v>
      </c>
      <c r="B88" s="6" t="str">
        <f t="shared" si="1"/>
        <v>Sun</v>
      </c>
      <c r="C88" s="6" t="s">
        <v>108</v>
      </c>
      <c r="D88" s="6" t="s">
        <v>153</v>
      </c>
      <c r="E88" s="6" t="s">
        <v>144</v>
      </c>
      <c r="F88" s="6">
        <v>2.026659306E9</v>
      </c>
      <c r="G88" s="6" t="s">
        <v>29</v>
      </c>
      <c r="H88" s="6">
        <v>8.0</v>
      </c>
      <c r="I88" s="6">
        <v>8.0</v>
      </c>
      <c r="J88" s="6">
        <v>0.0</v>
      </c>
      <c r="K88" s="6">
        <v>0.0</v>
      </c>
      <c r="L88" s="6">
        <f t="shared" si="2"/>
        <v>8</v>
      </c>
      <c r="M88" s="6" t="s">
        <v>32</v>
      </c>
      <c r="N88" s="8" t="s">
        <v>33</v>
      </c>
    </row>
    <row r="89" ht="15.0" customHeight="1">
      <c r="A89" s="5">
        <v>46173.0</v>
      </c>
      <c r="B89" s="6" t="str">
        <f t="shared" si="1"/>
        <v>Sun</v>
      </c>
      <c r="C89" s="6" t="s">
        <v>103</v>
      </c>
      <c r="D89" s="6" t="s">
        <v>59</v>
      </c>
      <c r="E89" s="6" t="s">
        <v>37</v>
      </c>
      <c r="F89" s="6">
        <v>2.026251406E9</v>
      </c>
      <c r="G89" s="6" t="s">
        <v>29</v>
      </c>
      <c r="H89" s="6">
        <v>22.0</v>
      </c>
      <c r="I89" s="6">
        <v>22.0</v>
      </c>
      <c r="J89" s="6">
        <v>3.0</v>
      </c>
      <c r="K89" s="6">
        <v>3.0</v>
      </c>
      <c r="L89" s="6">
        <f t="shared" si="2"/>
        <v>25</v>
      </c>
      <c r="M89" s="6" t="s">
        <v>32</v>
      </c>
      <c r="N89" s="8" t="s">
        <v>33</v>
      </c>
    </row>
    <row r="90" ht="15.0" customHeight="1">
      <c r="A90" s="5">
        <v>46179.0</v>
      </c>
      <c r="B90" s="6" t="str">
        <f t="shared" si="1"/>
        <v>Sat</v>
      </c>
      <c r="C90" s="6" t="s">
        <v>30</v>
      </c>
      <c r="D90" s="6" t="s">
        <v>155</v>
      </c>
      <c r="E90" s="6" t="s">
        <v>156</v>
      </c>
      <c r="F90" s="6">
        <v>2.026261009E9</v>
      </c>
      <c r="G90" s="6" t="s">
        <v>29</v>
      </c>
      <c r="H90" s="6">
        <v>53.0</v>
      </c>
      <c r="I90" s="6">
        <v>50.0</v>
      </c>
      <c r="J90" s="6">
        <v>16.0</v>
      </c>
      <c r="K90" s="6">
        <v>16.0</v>
      </c>
      <c r="L90" s="6">
        <f t="shared" si="2"/>
        <v>69</v>
      </c>
      <c r="M90" s="6" t="s">
        <v>32</v>
      </c>
      <c r="N90" s="8" t="s">
        <v>33</v>
      </c>
    </row>
    <row r="91" ht="15.0" customHeight="1">
      <c r="A91" s="5">
        <v>46179.0</v>
      </c>
      <c r="B91" s="6" t="str">
        <f t="shared" si="1"/>
        <v>Sat</v>
      </c>
      <c r="C91" s="6" t="s">
        <v>57</v>
      </c>
      <c r="D91" s="6" t="s">
        <v>83</v>
      </c>
      <c r="E91" s="6" t="s">
        <v>71</v>
      </c>
      <c r="F91" s="6">
        <v>2.026686312E9</v>
      </c>
      <c r="G91" s="6" t="s">
        <v>29</v>
      </c>
      <c r="H91" s="6">
        <v>38.0</v>
      </c>
      <c r="I91" s="6">
        <v>38.0</v>
      </c>
      <c r="J91" s="6">
        <v>9.0</v>
      </c>
      <c r="K91" s="6">
        <v>9.0</v>
      </c>
      <c r="L91" s="6">
        <f t="shared" si="2"/>
        <v>47</v>
      </c>
      <c r="M91" s="6" t="s">
        <v>32</v>
      </c>
      <c r="N91" s="8" t="s">
        <v>33</v>
      </c>
    </row>
    <row r="92" ht="15.0" customHeight="1">
      <c r="A92" s="5">
        <v>46179.0</v>
      </c>
      <c r="B92" s="6" t="str">
        <f t="shared" si="1"/>
        <v>Sat</v>
      </c>
      <c r="C92" s="6" t="s">
        <v>84</v>
      </c>
      <c r="D92" s="6" t="s">
        <v>115</v>
      </c>
      <c r="E92" s="6" t="s">
        <v>92</v>
      </c>
      <c r="F92" s="6">
        <v>2.026671103E9</v>
      </c>
      <c r="G92" s="6" t="s">
        <v>29</v>
      </c>
      <c r="H92" s="6">
        <v>22.0</v>
      </c>
      <c r="I92" s="6">
        <v>22.0</v>
      </c>
      <c r="J92" s="6">
        <v>5.0</v>
      </c>
      <c r="K92" s="6">
        <v>5.0</v>
      </c>
      <c r="L92" s="6">
        <f t="shared" si="2"/>
        <v>27</v>
      </c>
      <c r="M92" s="6" t="s">
        <v>32</v>
      </c>
      <c r="N92" s="8" t="s">
        <v>33</v>
      </c>
    </row>
    <row r="93" ht="15.0" customHeight="1">
      <c r="A93" s="5">
        <v>46180.0</v>
      </c>
      <c r="B93" s="6" t="str">
        <f t="shared" si="1"/>
        <v>Sun</v>
      </c>
      <c r="C93" s="6" t="s">
        <v>57</v>
      </c>
      <c r="D93" s="6" t="s">
        <v>83</v>
      </c>
      <c r="E93" s="6" t="s">
        <v>71</v>
      </c>
      <c r="F93" s="6">
        <v>2.026686313E9</v>
      </c>
      <c r="G93" s="6" t="s">
        <v>29</v>
      </c>
      <c r="H93" s="6">
        <v>37.0</v>
      </c>
      <c r="I93" s="6">
        <v>36.0</v>
      </c>
      <c r="J93" s="6">
        <v>6.0</v>
      </c>
      <c r="K93" s="6">
        <v>6.0</v>
      </c>
      <c r="L93" s="6">
        <f t="shared" si="2"/>
        <v>43</v>
      </c>
      <c r="M93" s="6" t="s">
        <v>32</v>
      </c>
      <c r="N93" s="8" t="s">
        <v>33</v>
      </c>
    </row>
    <row r="94" ht="15.0" customHeight="1">
      <c r="A94" s="5">
        <v>46180.0</v>
      </c>
      <c r="B94" s="6" t="str">
        <f t="shared" si="1"/>
        <v>Sun</v>
      </c>
      <c r="C94" s="6" t="s">
        <v>84</v>
      </c>
      <c r="D94" s="6" t="s">
        <v>115</v>
      </c>
      <c r="E94" s="6" t="s">
        <v>92</v>
      </c>
      <c r="F94" s="6">
        <v>2.026671104E9</v>
      </c>
      <c r="G94" s="6" t="s">
        <v>29</v>
      </c>
      <c r="H94" s="6">
        <v>22.0</v>
      </c>
      <c r="I94" s="6">
        <v>21.0</v>
      </c>
      <c r="J94" s="6">
        <v>2.0</v>
      </c>
      <c r="K94" s="6">
        <v>2.0</v>
      </c>
      <c r="L94" s="6">
        <f t="shared" si="2"/>
        <v>24</v>
      </c>
      <c r="M94" s="6" t="s">
        <v>32</v>
      </c>
      <c r="N94" s="8" t="s">
        <v>33</v>
      </c>
    </row>
    <row r="95" ht="15.0" customHeight="1">
      <c r="A95" s="5">
        <v>46180.0</v>
      </c>
      <c r="B95" s="6" t="str">
        <f t="shared" si="1"/>
        <v>Sun</v>
      </c>
      <c r="C95" s="6" t="s">
        <v>30</v>
      </c>
      <c r="D95" s="6" t="s">
        <v>155</v>
      </c>
      <c r="E95" s="6" t="s">
        <v>156</v>
      </c>
      <c r="F95" s="6">
        <v>2.02626101E9</v>
      </c>
      <c r="G95" s="6" t="s">
        <v>29</v>
      </c>
      <c r="H95" s="6">
        <v>62.0</v>
      </c>
      <c r="I95" s="6">
        <v>56.0</v>
      </c>
      <c r="J95" s="6">
        <v>4.0</v>
      </c>
      <c r="K95" s="6">
        <v>4.0</v>
      </c>
      <c r="L95" s="6">
        <f t="shared" si="2"/>
        <v>66</v>
      </c>
      <c r="M95" s="6" t="s">
        <v>32</v>
      </c>
      <c r="N95" s="8" t="s">
        <v>33</v>
      </c>
    </row>
    <row r="96" ht="15.0" customHeight="1">
      <c r="A96" s="5">
        <v>46186.0</v>
      </c>
      <c r="B96" s="6" t="str">
        <f t="shared" si="1"/>
        <v>Sat</v>
      </c>
      <c r="C96" s="6" t="s">
        <v>122</v>
      </c>
      <c r="D96" s="6" t="s">
        <v>160</v>
      </c>
      <c r="E96" s="6" t="s">
        <v>119</v>
      </c>
      <c r="F96" s="6">
        <v>2.026500901E9</v>
      </c>
      <c r="G96" s="6" t="s">
        <v>29</v>
      </c>
      <c r="H96" s="6">
        <v>20.0</v>
      </c>
      <c r="I96" s="6">
        <v>20.0</v>
      </c>
      <c r="J96" s="6">
        <v>7.0</v>
      </c>
      <c r="K96" s="6">
        <v>7.0</v>
      </c>
      <c r="L96" s="6">
        <f t="shared" si="2"/>
        <v>27</v>
      </c>
      <c r="M96" s="6" t="s">
        <v>32</v>
      </c>
      <c r="N96" s="8" t="s">
        <v>33</v>
      </c>
    </row>
    <row r="97" ht="15.0" customHeight="1">
      <c r="A97" s="5">
        <v>46187.0</v>
      </c>
      <c r="B97" s="6" t="str">
        <f t="shared" si="1"/>
        <v>Sun</v>
      </c>
      <c r="C97" s="6" t="s">
        <v>122</v>
      </c>
      <c r="D97" s="6" t="s">
        <v>160</v>
      </c>
      <c r="E97" s="6" t="s">
        <v>119</v>
      </c>
      <c r="F97" s="6">
        <v>2.026500902E9</v>
      </c>
      <c r="G97" s="6" t="s">
        <v>29</v>
      </c>
      <c r="H97" s="6">
        <v>13.0</v>
      </c>
      <c r="I97" s="6">
        <v>13.0</v>
      </c>
      <c r="J97" s="6">
        <v>3.0</v>
      </c>
      <c r="K97" s="6">
        <v>3.0</v>
      </c>
      <c r="L97" s="6">
        <f t="shared" si="2"/>
        <v>16</v>
      </c>
      <c r="M97" s="6" t="s">
        <v>32</v>
      </c>
      <c r="N97" s="8" t="s">
        <v>33</v>
      </c>
    </row>
    <row r="98" ht="15.0" customHeight="1">
      <c r="A98" s="5">
        <v>46193.0</v>
      </c>
      <c r="B98" s="6" t="str">
        <f t="shared" si="1"/>
        <v>Sat</v>
      </c>
      <c r="C98" s="6" t="s">
        <v>96</v>
      </c>
      <c r="D98" s="6" t="s">
        <v>161</v>
      </c>
      <c r="E98" s="6" t="s">
        <v>71</v>
      </c>
      <c r="F98" s="6">
        <v>2.026411307E9</v>
      </c>
      <c r="G98" s="6" t="s">
        <v>29</v>
      </c>
      <c r="H98" s="6">
        <v>33.0</v>
      </c>
      <c r="I98" s="6">
        <v>33.0</v>
      </c>
      <c r="J98" s="6">
        <v>4.0</v>
      </c>
      <c r="K98" s="6">
        <v>4.0</v>
      </c>
      <c r="L98" s="6">
        <f t="shared" si="2"/>
        <v>37</v>
      </c>
      <c r="M98" s="6" t="s">
        <v>32</v>
      </c>
      <c r="N98" s="8" t="s">
        <v>33</v>
      </c>
    </row>
    <row r="99" ht="15.0" customHeight="1">
      <c r="A99" s="5">
        <v>46193.0</v>
      </c>
      <c r="B99" s="6" t="str">
        <f t="shared" si="1"/>
        <v>Sat</v>
      </c>
      <c r="C99" s="6" t="s">
        <v>147</v>
      </c>
      <c r="D99" s="6" t="s">
        <v>163</v>
      </c>
      <c r="E99" s="6" t="s">
        <v>164</v>
      </c>
      <c r="F99" s="6">
        <v>2.026262501E9</v>
      </c>
      <c r="G99" s="6" t="s">
        <v>29</v>
      </c>
      <c r="H99" s="6">
        <v>14.0</v>
      </c>
      <c r="I99" s="6">
        <v>14.0</v>
      </c>
      <c r="J99" s="6">
        <v>10.0</v>
      </c>
      <c r="K99" s="6">
        <v>10.0</v>
      </c>
      <c r="L99" s="6">
        <f t="shared" si="2"/>
        <v>24</v>
      </c>
      <c r="M99" s="6" t="s">
        <v>32</v>
      </c>
      <c r="N99" s="8" t="s">
        <v>33</v>
      </c>
    </row>
    <row r="100" ht="15.0" customHeight="1">
      <c r="A100" s="5">
        <v>46194.0</v>
      </c>
      <c r="B100" s="6" t="str">
        <f t="shared" si="1"/>
        <v>Sun</v>
      </c>
      <c r="C100" s="6" t="s">
        <v>96</v>
      </c>
      <c r="D100" s="6" t="s">
        <v>161</v>
      </c>
      <c r="E100" s="6" t="s">
        <v>71</v>
      </c>
      <c r="F100" s="6">
        <v>2.026411308E9</v>
      </c>
      <c r="G100" s="6" t="s">
        <v>29</v>
      </c>
      <c r="H100" s="6">
        <v>31.0</v>
      </c>
      <c r="I100" s="6">
        <v>29.0</v>
      </c>
      <c r="J100" s="6">
        <v>2.0</v>
      </c>
      <c r="K100" s="6">
        <v>2.0</v>
      </c>
      <c r="L100" s="6">
        <f t="shared" si="2"/>
        <v>33</v>
      </c>
      <c r="M100" s="6" t="s">
        <v>32</v>
      </c>
      <c r="N100" s="8" t="s">
        <v>33</v>
      </c>
    </row>
    <row r="101" ht="15.0" customHeight="1">
      <c r="A101" s="5">
        <v>46194.0</v>
      </c>
      <c r="B101" s="6" t="str">
        <f t="shared" si="1"/>
        <v>Sun</v>
      </c>
      <c r="C101" s="6" t="s">
        <v>147</v>
      </c>
      <c r="D101" s="6" t="s">
        <v>163</v>
      </c>
      <c r="E101" s="6" t="s">
        <v>164</v>
      </c>
      <c r="F101" s="6">
        <v>2.026262502E9</v>
      </c>
      <c r="G101" s="6" t="s">
        <v>29</v>
      </c>
      <c r="H101" s="6">
        <v>11.0</v>
      </c>
      <c r="I101" s="6">
        <v>11.0</v>
      </c>
      <c r="J101" s="6">
        <v>10.0</v>
      </c>
      <c r="K101" s="6">
        <v>10.0</v>
      </c>
      <c r="L101" s="6">
        <f t="shared" si="2"/>
        <v>21</v>
      </c>
      <c r="M101" s="6" t="s">
        <v>32</v>
      </c>
      <c r="N101" s="8" t="s">
        <v>33</v>
      </c>
    </row>
    <row r="102" ht="15.0" customHeight="1">
      <c r="A102" s="5">
        <v>46199.0</v>
      </c>
      <c r="B102" s="6" t="str">
        <f t="shared" si="1"/>
        <v>Fri</v>
      </c>
      <c r="C102" s="6" t="s">
        <v>158</v>
      </c>
      <c r="D102" s="6" t="s">
        <v>165</v>
      </c>
      <c r="E102" s="6" t="s">
        <v>156</v>
      </c>
      <c r="F102" s="6">
        <v>2.026291602E9</v>
      </c>
      <c r="G102" s="6" t="s">
        <v>166</v>
      </c>
      <c r="H102" s="6">
        <v>13.0</v>
      </c>
      <c r="I102" s="6">
        <v>13.0</v>
      </c>
      <c r="J102" s="6"/>
      <c r="K102" s="6"/>
      <c r="L102" s="6">
        <f t="shared" si="2"/>
        <v>13</v>
      </c>
      <c r="M102" s="6" t="s">
        <v>32</v>
      </c>
      <c r="N102" s="8" t="s">
        <v>33</v>
      </c>
    </row>
    <row r="103" ht="15.0" customHeight="1">
      <c r="A103" s="5">
        <v>46199.0</v>
      </c>
      <c r="B103" s="6" t="str">
        <f t="shared" si="1"/>
        <v>Fri</v>
      </c>
      <c r="C103" s="6" t="s">
        <v>72</v>
      </c>
      <c r="D103" s="6" t="s">
        <v>165</v>
      </c>
      <c r="E103" s="6" t="s">
        <v>156</v>
      </c>
      <c r="F103" s="6">
        <v>2.02607471E9</v>
      </c>
      <c r="G103" s="6" t="s">
        <v>102</v>
      </c>
      <c r="H103" s="6">
        <v>37.0</v>
      </c>
      <c r="I103" s="6">
        <v>37.0</v>
      </c>
      <c r="J103" s="6"/>
      <c r="K103" s="6"/>
      <c r="L103" s="6">
        <f t="shared" si="2"/>
        <v>37</v>
      </c>
      <c r="M103" s="6" t="s">
        <v>32</v>
      </c>
      <c r="N103" s="8" t="s">
        <v>33</v>
      </c>
    </row>
    <row r="104" ht="15.0" customHeight="1">
      <c r="A104" s="5">
        <v>46199.0</v>
      </c>
      <c r="B104" s="6" t="str">
        <f t="shared" si="1"/>
        <v>Fri</v>
      </c>
      <c r="C104" s="6" t="s">
        <v>154</v>
      </c>
      <c r="D104" s="6" t="s">
        <v>165</v>
      </c>
      <c r="E104" s="6" t="s">
        <v>156</v>
      </c>
      <c r="F104" s="6">
        <v>2.026000702E9</v>
      </c>
      <c r="G104" s="6" t="s">
        <v>121</v>
      </c>
      <c r="H104" s="6">
        <v>17.0</v>
      </c>
      <c r="I104" s="6">
        <v>16.0</v>
      </c>
      <c r="J104" s="6"/>
      <c r="K104" s="6"/>
      <c r="L104" s="6">
        <f t="shared" si="2"/>
        <v>17</v>
      </c>
      <c r="M104" s="6" t="s">
        <v>32</v>
      </c>
      <c r="N104" s="8" t="s">
        <v>33</v>
      </c>
    </row>
    <row r="105" ht="15.0" customHeight="1">
      <c r="A105" s="5">
        <v>46199.0</v>
      </c>
      <c r="B105" s="6" t="str">
        <f t="shared" si="1"/>
        <v>Fri</v>
      </c>
      <c r="C105" s="6" t="s">
        <v>30</v>
      </c>
      <c r="D105" s="6" t="s">
        <v>165</v>
      </c>
      <c r="E105" s="6" t="s">
        <v>156</v>
      </c>
      <c r="F105" s="6">
        <v>2.026261011E9</v>
      </c>
      <c r="G105" s="6" t="s">
        <v>29</v>
      </c>
      <c r="H105" s="6"/>
      <c r="I105" s="6"/>
      <c r="J105" s="6">
        <v>11.0</v>
      </c>
      <c r="K105" s="6">
        <v>8.0</v>
      </c>
      <c r="L105" s="6">
        <f t="shared" si="2"/>
        <v>11</v>
      </c>
      <c r="M105" s="6" t="s">
        <v>32</v>
      </c>
      <c r="N105" s="8" t="s">
        <v>33</v>
      </c>
    </row>
    <row r="106" ht="15.0" customHeight="1">
      <c r="A106" s="5">
        <v>46200.0</v>
      </c>
      <c r="B106" s="6" t="str">
        <f t="shared" si="1"/>
        <v>Sat</v>
      </c>
      <c r="C106" s="6" t="s">
        <v>30</v>
      </c>
      <c r="D106" s="6" t="s">
        <v>165</v>
      </c>
      <c r="E106" s="6" t="s">
        <v>156</v>
      </c>
      <c r="F106" s="6">
        <v>2.026261012E9</v>
      </c>
      <c r="G106" s="6" t="s">
        <v>29</v>
      </c>
      <c r="H106" s="6">
        <v>72.0</v>
      </c>
      <c r="I106" s="6">
        <v>69.0</v>
      </c>
      <c r="J106" s="6">
        <v>6.0</v>
      </c>
      <c r="K106" s="6">
        <v>6.0</v>
      </c>
      <c r="L106" s="6">
        <f t="shared" si="2"/>
        <v>78</v>
      </c>
      <c r="M106" s="6" t="s">
        <v>32</v>
      </c>
      <c r="N106" s="8" t="s">
        <v>33</v>
      </c>
    </row>
    <row r="107" ht="15.0" customHeight="1">
      <c r="A107" s="5">
        <v>46200.0</v>
      </c>
      <c r="B107" s="6" t="str">
        <f t="shared" si="1"/>
        <v>Sat</v>
      </c>
      <c r="C107" s="6" t="s">
        <v>157</v>
      </c>
      <c r="D107" s="6" t="s">
        <v>167</v>
      </c>
      <c r="E107" s="6" t="s">
        <v>168</v>
      </c>
      <c r="F107" s="6">
        <v>2.026761222E9</v>
      </c>
      <c r="G107" s="6" t="s">
        <v>29</v>
      </c>
      <c r="H107" s="6">
        <v>9.0</v>
      </c>
      <c r="I107" s="6">
        <v>9.0</v>
      </c>
      <c r="J107" s="6">
        <v>3.0</v>
      </c>
      <c r="K107" s="6">
        <v>3.0</v>
      </c>
      <c r="L107" s="6">
        <f t="shared" si="2"/>
        <v>12</v>
      </c>
      <c r="M107" s="6" t="s">
        <v>32</v>
      </c>
      <c r="N107" s="8" t="s">
        <v>33</v>
      </c>
    </row>
    <row r="108" ht="15.0" customHeight="1">
      <c r="A108" s="5">
        <v>46201.0</v>
      </c>
      <c r="B108" s="6" t="str">
        <f t="shared" si="1"/>
        <v>Sun</v>
      </c>
      <c r="C108" s="6" t="s">
        <v>157</v>
      </c>
      <c r="D108" s="6" t="s">
        <v>167</v>
      </c>
      <c r="E108" s="6" t="s">
        <v>168</v>
      </c>
      <c r="F108" s="6">
        <v>2.026761223E9</v>
      </c>
      <c r="G108" s="6" t="s">
        <v>29</v>
      </c>
      <c r="H108" s="6">
        <v>7.0</v>
      </c>
      <c r="I108" s="6">
        <v>6.0</v>
      </c>
      <c r="J108" s="6">
        <v>1.0</v>
      </c>
      <c r="K108" s="6">
        <v>1.0</v>
      </c>
      <c r="L108" s="6">
        <f t="shared" si="2"/>
        <v>8</v>
      </c>
      <c r="M108" s="6" t="s">
        <v>32</v>
      </c>
      <c r="N108" s="8" t="s">
        <v>33</v>
      </c>
    </row>
    <row r="109" ht="15.0" customHeight="1">
      <c r="A109" s="5">
        <v>46201.0</v>
      </c>
      <c r="B109" s="6" t="str">
        <f t="shared" si="1"/>
        <v>Sun</v>
      </c>
      <c r="C109" s="6" t="s">
        <v>30</v>
      </c>
      <c r="D109" s="6" t="s">
        <v>165</v>
      </c>
      <c r="E109" s="6" t="s">
        <v>156</v>
      </c>
      <c r="F109" s="6">
        <v>2.026261013E9</v>
      </c>
      <c r="G109" s="6" t="s">
        <v>29</v>
      </c>
      <c r="H109" s="6">
        <v>77.0</v>
      </c>
      <c r="I109" s="6">
        <v>61.0</v>
      </c>
      <c r="J109" s="6">
        <v>2.0</v>
      </c>
      <c r="K109" s="6">
        <v>2.0</v>
      </c>
      <c r="L109" s="6">
        <f t="shared" si="2"/>
        <v>79</v>
      </c>
      <c r="M109" s="6" t="s">
        <v>32</v>
      </c>
      <c r="N109" s="8" t="s">
        <v>33</v>
      </c>
    </row>
    <row r="110" ht="15.0" customHeight="1">
      <c r="A110" s="5">
        <v>46207.0</v>
      </c>
      <c r="B110" s="6" t="str">
        <f t="shared" si="1"/>
        <v>Sat</v>
      </c>
      <c r="C110" s="6" t="s">
        <v>74</v>
      </c>
      <c r="D110" s="6" t="s">
        <v>109</v>
      </c>
      <c r="E110" s="6" t="s">
        <v>110</v>
      </c>
      <c r="F110" s="6">
        <v>2.026262907E9</v>
      </c>
      <c r="G110" s="6" t="s">
        <v>29</v>
      </c>
      <c r="H110" s="6">
        <v>36.0</v>
      </c>
      <c r="I110" s="6">
        <v>34.0</v>
      </c>
      <c r="J110" s="6">
        <v>10.0</v>
      </c>
      <c r="K110" s="6">
        <v>8.0</v>
      </c>
      <c r="L110" s="6">
        <f t="shared" si="2"/>
        <v>46</v>
      </c>
      <c r="M110" s="6" t="s">
        <v>32</v>
      </c>
      <c r="N110" s="8" t="s">
        <v>33</v>
      </c>
    </row>
    <row r="111" ht="15.0" customHeight="1">
      <c r="A111" s="5">
        <v>46208.0</v>
      </c>
      <c r="B111" s="6" t="str">
        <f t="shared" si="1"/>
        <v>Sun</v>
      </c>
      <c r="C111" s="6" t="s">
        <v>74</v>
      </c>
      <c r="D111" s="6" t="s">
        <v>109</v>
      </c>
      <c r="E111" s="6" t="s">
        <v>110</v>
      </c>
      <c r="F111" s="6">
        <v>2.026262908E9</v>
      </c>
      <c r="G111" s="6" t="s">
        <v>29</v>
      </c>
      <c r="H111" s="6">
        <v>38.0</v>
      </c>
      <c r="I111" s="6">
        <v>34.0</v>
      </c>
      <c r="J111" s="6">
        <v>6.0</v>
      </c>
      <c r="K111" s="6">
        <v>6.0</v>
      </c>
      <c r="L111" s="6">
        <f t="shared" si="2"/>
        <v>44</v>
      </c>
      <c r="M111" s="6" t="s">
        <v>32</v>
      </c>
      <c r="N111" s="8" t="s">
        <v>33</v>
      </c>
    </row>
    <row r="112" ht="15.0" customHeight="1">
      <c r="A112" s="5">
        <v>46214.0</v>
      </c>
      <c r="B112" s="6" t="str">
        <f t="shared" si="1"/>
        <v>Sat</v>
      </c>
      <c r="C112" s="6" t="s">
        <v>57</v>
      </c>
      <c r="D112" s="6" t="s">
        <v>171</v>
      </c>
      <c r="E112" s="6" t="s">
        <v>71</v>
      </c>
      <c r="F112" s="6">
        <v>2.026686314E9</v>
      </c>
      <c r="G112" s="6" t="s">
        <v>29</v>
      </c>
      <c r="H112" s="6">
        <v>32.0</v>
      </c>
      <c r="I112" s="6">
        <v>32.0</v>
      </c>
      <c r="J112" s="6">
        <v>9.0</v>
      </c>
      <c r="K112" s="6">
        <v>9.0</v>
      </c>
      <c r="L112" s="6">
        <f t="shared" si="2"/>
        <v>41</v>
      </c>
      <c r="M112" s="6" t="s">
        <v>32</v>
      </c>
      <c r="N112" s="8" t="s">
        <v>33</v>
      </c>
    </row>
    <row r="113" ht="15.0" customHeight="1">
      <c r="A113" s="5">
        <v>46215.0</v>
      </c>
      <c r="B113" s="6" t="str">
        <f t="shared" si="1"/>
        <v>Sun</v>
      </c>
      <c r="C113" s="6" t="s">
        <v>146</v>
      </c>
      <c r="D113" s="6" t="s">
        <v>172</v>
      </c>
      <c r="E113" s="6" t="s">
        <v>124</v>
      </c>
      <c r="F113" s="6">
        <v>2.026283602E9</v>
      </c>
      <c r="G113" s="6" t="s">
        <v>173</v>
      </c>
      <c r="H113" s="6">
        <v>26.0</v>
      </c>
      <c r="I113" s="6">
        <v>24.0</v>
      </c>
      <c r="J113" s="6">
        <v>0.0</v>
      </c>
      <c r="K113" s="6">
        <v>0.0</v>
      </c>
      <c r="L113" s="6">
        <f t="shared" si="2"/>
        <v>26</v>
      </c>
      <c r="M113" s="6" t="s">
        <v>32</v>
      </c>
      <c r="N113" s="8" t="s">
        <v>33</v>
      </c>
    </row>
    <row r="114" ht="15.0" customHeight="1">
      <c r="A114" s="5">
        <v>46215.0</v>
      </c>
      <c r="B114" s="6" t="str">
        <f t="shared" si="1"/>
        <v>Sun</v>
      </c>
      <c r="C114" s="6" t="s">
        <v>57</v>
      </c>
      <c r="D114" s="6" t="s">
        <v>171</v>
      </c>
      <c r="E114" s="6" t="s">
        <v>71</v>
      </c>
      <c r="F114" s="6">
        <v>2.026686315E9</v>
      </c>
      <c r="G114" s="6" t="s">
        <v>29</v>
      </c>
      <c r="H114" s="6">
        <v>30.0</v>
      </c>
      <c r="I114" s="6">
        <v>30.0</v>
      </c>
      <c r="J114" s="6">
        <v>7.0</v>
      </c>
      <c r="K114" s="6">
        <v>7.0</v>
      </c>
      <c r="L114" s="6">
        <f t="shared" si="2"/>
        <v>37</v>
      </c>
      <c r="M114" s="6" t="s">
        <v>32</v>
      </c>
      <c r="N114" s="8" t="s">
        <v>33</v>
      </c>
    </row>
    <row r="115" ht="15.0" customHeight="1">
      <c r="A115" s="5">
        <v>46220.0</v>
      </c>
      <c r="B115" s="6" t="str">
        <f t="shared" si="1"/>
        <v>Fri</v>
      </c>
      <c r="C115" s="6" t="s">
        <v>108</v>
      </c>
      <c r="D115" s="6" t="s">
        <v>153</v>
      </c>
      <c r="E115" s="6" t="s">
        <v>144</v>
      </c>
      <c r="F115" s="6">
        <v>2.026659326E9</v>
      </c>
      <c r="G115" s="6" t="s">
        <v>29</v>
      </c>
      <c r="H115" s="6">
        <v>9.0</v>
      </c>
      <c r="I115" s="6">
        <v>9.0</v>
      </c>
      <c r="J115" s="6">
        <v>1.0</v>
      </c>
      <c r="K115" s="6">
        <v>1.0</v>
      </c>
      <c r="L115" s="6">
        <f t="shared" si="2"/>
        <v>10</v>
      </c>
      <c r="M115" s="6" t="s">
        <v>32</v>
      </c>
      <c r="N115" s="8" t="s">
        <v>33</v>
      </c>
    </row>
    <row r="116" ht="15.0" customHeight="1">
      <c r="A116" s="5">
        <v>46221.0</v>
      </c>
      <c r="B116" s="6" t="str">
        <f t="shared" si="1"/>
        <v>Sat</v>
      </c>
      <c r="C116" s="6" t="s">
        <v>108</v>
      </c>
      <c r="D116" s="6" t="s">
        <v>153</v>
      </c>
      <c r="E116" s="6" t="s">
        <v>144</v>
      </c>
      <c r="F116" s="6">
        <v>2.02665931E9</v>
      </c>
      <c r="G116" s="6" t="s">
        <v>29</v>
      </c>
      <c r="H116" s="6">
        <v>10.0</v>
      </c>
      <c r="I116" s="6">
        <v>10.0</v>
      </c>
      <c r="J116" s="6">
        <v>0.0</v>
      </c>
      <c r="K116" s="6">
        <v>0.0</v>
      </c>
      <c r="L116" s="6">
        <f t="shared" si="2"/>
        <v>10</v>
      </c>
      <c r="M116" s="6" t="s">
        <v>32</v>
      </c>
      <c r="N116" s="8" t="s">
        <v>33</v>
      </c>
    </row>
    <row r="117" ht="15.0" customHeight="1">
      <c r="A117" s="5">
        <v>46222.0</v>
      </c>
      <c r="B117" s="6" t="str">
        <f t="shared" si="1"/>
        <v>Sun</v>
      </c>
      <c r="C117" s="6" t="s">
        <v>108</v>
      </c>
      <c r="D117" s="6" t="s">
        <v>153</v>
      </c>
      <c r="E117" s="6" t="s">
        <v>144</v>
      </c>
      <c r="F117" s="6">
        <v>2.026659311E9</v>
      </c>
      <c r="G117" s="6" t="s">
        <v>29</v>
      </c>
      <c r="H117" s="6">
        <v>8.0</v>
      </c>
      <c r="I117" s="6">
        <v>8.0</v>
      </c>
      <c r="J117" s="6">
        <v>0.0</v>
      </c>
      <c r="K117" s="6">
        <v>0.0</v>
      </c>
      <c r="L117" s="6">
        <f t="shared" si="2"/>
        <v>8</v>
      </c>
      <c r="M117" s="6" t="s">
        <v>32</v>
      </c>
      <c r="N117" s="8" t="s">
        <v>33</v>
      </c>
    </row>
    <row r="118" ht="15.0" customHeight="1">
      <c r="A118" s="5">
        <v>46235.0</v>
      </c>
      <c r="B118" s="6" t="str">
        <f t="shared" si="1"/>
        <v>Sat</v>
      </c>
      <c r="C118" s="6" t="s">
        <v>104</v>
      </c>
      <c r="D118" s="6" t="s">
        <v>174</v>
      </c>
      <c r="E118" s="6" t="s">
        <v>43</v>
      </c>
      <c r="F118" s="6">
        <v>2.026520602E9</v>
      </c>
      <c r="G118" s="6" t="s">
        <v>29</v>
      </c>
      <c r="H118" s="6">
        <v>24.0</v>
      </c>
      <c r="I118" s="6">
        <v>24.0</v>
      </c>
      <c r="J118" s="6">
        <v>7.0</v>
      </c>
      <c r="K118" s="6">
        <v>7.0</v>
      </c>
      <c r="L118" s="6">
        <f t="shared" si="2"/>
        <v>31</v>
      </c>
      <c r="M118" s="6" t="s">
        <v>32</v>
      </c>
      <c r="N118" s="8" t="s">
        <v>33</v>
      </c>
    </row>
    <row r="119" ht="15.0" customHeight="1">
      <c r="A119" s="5">
        <v>46236.0</v>
      </c>
      <c r="B119" s="6" t="str">
        <f t="shared" si="1"/>
        <v>Sun</v>
      </c>
      <c r="C119" s="6" t="s">
        <v>104</v>
      </c>
      <c r="D119" s="6" t="s">
        <v>174</v>
      </c>
      <c r="E119" s="6" t="s">
        <v>43</v>
      </c>
      <c r="F119" s="6">
        <v>2.026520603E9</v>
      </c>
      <c r="G119" s="6" t="s">
        <v>29</v>
      </c>
      <c r="H119" s="6">
        <v>20.0</v>
      </c>
      <c r="I119" s="6">
        <v>20.0</v>
      </c>
      <c r="J119" s="6">
        <v>6.0</v>
      </c>
      <c r="K119" s="6">
        <v>6.0</v>
      </c>
      <c r="L119" s="6">
        <f t="shared" si="2"/>
        <v>26</v>
      </c>
      <c r="M119" s="6" t="s">
        <v>32</v>
      </c>
      <c r="N119" s="8" t="s">
        <v>33</v>
      </c>
    </row>
    <row r="120" ht="15.0" customHeight="1">
      <c r="A120" s="5">
        <v>46249.0</v>
      </c>
      <c r="B120" s="6" t="str">
        <f t="shared" si="1"/>
        <v>Sat</v>
      </c>
      <c r="C120" s="6" t="s">
        <v>95</v>
      </c>
      <c r="D120" s="6" t="s">
        <v>175</v>
      </c>
      <c r="E120" s="6" t="s">
        <v>136</v>
      </c>
      <c r="F120" s="6">
        <v>2.026257607E9</v>
      </c>
      <c r="G120" s="6" t="s">
        <v>29</v>
      </c>
      <c r="H120" s="6">
        <v>39.0</v>
      </c>
      <c r="I120" s="6">
        <v>39.0</v>
      </c>
      <c r="J120" s="6">
        <v>2.0</v>
      </c>
      <c r="K120" s="6">
        <v>2.0</v>
      </c>
      <c r="L120" s="6">
        <f t="shared" si="2"/>
        <v>41</v>
      </c>
      <c r="M120" s="6" t="s">
        <v>32</v>
      </c>
      <c r="N120" s="8" t="s">
        <v>33</v>
      </c>
    </row>
    <row r="121" ht="15.0" customHeight="1">
      <c r="A121" s="5">
        <v>46250.0</v>
      </c>
      <c r="B121" s="6" t="str">
        <f t="shared" si="1"/>
        <v>Sun</v>
      </c>
      <c r="C121" s="6" t="s">
        <v>95</v>
      </c>
      <c r="D121" s="6" t="s">
        <v>175</v>
      </c>
      <c r="E121" s="6" t="s">
        <v>136</v>
      </c>
      <c r="F121" s="6">
        <v>2.026257608E9</v>
      </c>
      <c r="G121" s="6" t="s">
        <v>29</v>
      </c>
      <c r="H121" s="6">
        <v>32.0</v>
      </c>
      <c r="I121" s="6">
        <v>32.0</v>
      </c>
      <c r="J121" s="6">
        <v>5.0</v>
      </c>
      <c r="K121" s="6">
        <v>5.0</v>
      </c>
      <c r="L121" s="6">
        <f t="shared" si="2"/>
        <v>37</v>
      </c>
      <c r="M121" s="6" t="s">
        <v>32</v>
      </c>
      <c r="N121" s="8" t="s">
        <v>33</v>
      </c>
    </row>
    <row r="122" ht="15.0" customHeight="1">
      <c r="A122" s="5">
        <v>46270.0</v>
      </c>
      <c r="B122" s="6" t="str">
        <f t="shared" si="1"/>
        <v>Sat</v>
      </c>
      <c r="C122" s="6" t="s">
        <v>75</v>
      </c>
      <c r="D122" s="6" t="s">
        <v>176</v>
      </c>
      <c r="E122" s="6" t="s">
        <v>177</v>
      </c>
      <c r="F122" s="6">
        <v>2.026741911E9</v>
      </c>
      <c r="G122" s="6" t="s">
        <v>29</v>
      </c>
      <c r="H122" s="6">
        <v>51.0</v>
      </c>
      <c r="I122" s="6">
        <v>50.0</v>
      </c>
      <c r="J122" s="6">
        <v>3.0</v>
      </c>
      <c r="K122" s="6">
        <v>2.0</v>
      </c>
      <c r="L122" s="6">
        <f t="shared" si="2"/>
        <v>54</v>
      </c>
      <c r="M122" s="6" t="s">
        <v>32</v>
      </c>
      <c r="N122" s="8" t="s">
        <v>33</v>
      </c>
    </row>
    <row r="123" ht="15.0" customHeight="1">
      <c r="A123" s="5">
        <v>46271.0</v>
      </c>
      <c r="B123" s="6" t="str">
        <f t="shared" si="1"/>
        <v>Sun</v>
      </c>
      <c r="C123" s="6" t="s">
        <v>75</v>
      </c>
      <c r="D123" s="6" t="s">
        <v>176</v>
      </c>
      <c r="E123" s="6" t="s">
        <v>177</v>
      </c>
      <c r="F123" s="6">
        <v>2.026741912E9</v>
      </c>
      <c r="G123" s="6" t="s">
        <v>29</v>
      </c>
      <c r="H123" s="6">
        <v>56.0</v>
      </c>
      <c r="I123" s="6">
        <v>56.0</v>
      </c>
      <c r="J123" s="6">
        <v>3.0</v>
      </c>
      <c r="K123" s="6">
        <v>2.0</v>
      </c>
      <c r="L123" s="6">
        <f t="shared" si="2"/>
        <v>59</v>
      </c>
      <c r="M123" s="6" t="s">
        <v>32</v>
      </c>
      <c r="N123" s="8" t="s">
        <v>33</v>
      </c>
    </row>
    <row r="124" ht="15.0" customHeight="1">
      <c r="A124" s="5">
        <v>46272.0</v>
      </c>
      <c r="B124" s="6" t="str">
        <f t="shared" si="1"/>
        <v>Mon</v>
      </c>
      <c r="C124" s="6" t="s">
        <v>158</v>
      </c>
      <c r="D124" s="6" t="s">
        <v>178</v>
      </c>
      <c r="E124" s="6" t="s">
        <v>162</v>
      </c>
      <c r="F124" s="6">
        <v>2.026291609E9</v>
      </c>
      <c r="G124" s="6"/>
      <c r="H124" s="6"/>
      <c r="I124" s="6"/>
      <c r="J124" s="6"/>
      <c r="K124" s="6"/>
      <c r="L124" s="6" t="str">
        <f t="shared" si="2"/>
        <v/>
      </c>
      <c r="M124" s="6" t="s">
        <v>179</v>
      </c>
      <c r="N124" s="8" t="s">
        <v>33</v>
      </c>
    </row>
    <row r="125" ht="15.0" customHeight="1">
      <c r="A125" s="5">
        <v>46272.0</v>
      </c>
      <c r="B125" s="6" t="str">
        <f t="shared" si="1"/>
        <v>Mon</v>
      </c>
      <c r="C125" s="6" t="s">
        <v>75</v>
      </c>
      <c r="D125" s="6" t="s">
        <v>176</v>
      </c>
      <c r="E125" s="6" t="s">
        <v>177</v>
      </c>
      <c r="F125" s="6">
        <v>2.026741913E9</v>
      </c>
      <c r="G125" s="6"/>
      <c r="H125" s="6"/>
      <c r="I125" s="6"/>
      <c r="J125" s="6"/>
      <c r="K125" s="6"/>
      <c r="L125" s="6" t="str">
        <f t="shared" si="2"/>
        <v/>
      </c>
      <c r="M125" s="6" t="s">
        <v>179</v>
      </c>
      <c r="N125" s="8" t="s">
        <v>33</v>
      </c>
    </row>
    <row r="126" ht="15.0" customHeight="1">
      <c r="A126" s="5">
        <v>46272.0</v>
      </c>
      <c r="B126" s="6" t="str">
        <f t="shared" si="1"/>
        <v>Mon</v>
      </c>
      <c r="C126" s="6" t="s">
        <v>134</v>
      </c>
      <c r="D126" s="6" t="s">
        <v>180</v>
      </c>
      <c r="E126" s="6" t="s">
        <v>168</v>
      </c>
      <c r="F126" s="6">
        <v>2.026698401E9</v>
      </c>
      <c r="G126" s="6" t="s">
        <v>29</v>
      </c>
      <c r="H126" s="6">
        <v>30.0</v>
      </c>
      <c r="I126" s="6">
        <v>30.0</v>
      </c>
      <c r="J126" s="6">
        <v>0.0</v>
      </c>
      <c r="K126" s="6">
        <v>0.0</v>
      </c>
      <c r="L126" s="6">
        <f t="shared" si="2"/>
        <v>30</v>
      </c>
      <c r="M126" s="6" t="s">
        <v>32</v>
      </c>
      <c r="N126" s="8" t="s">
        <v>33</v>
      </c>
    </row>
    <row r="127" ht="15.0" customHeight="1">
      <c r="A127" s="5">
        <v>46277.0</v>
      </c>
      <c r="B127" s="6" t="str">
        <f t="shared" si="1"/>
        <v>Sat</v>
      </c>
      <c r="C127" s="6" t="s">
        <v>108</v>
      </c>
      <c r="D127" s="6" t="s">
        <v>153</v>
      </c>
      <c r="E127" s="6" t="s">
        <v>144</v>
      </c>
      <c r="F127" s="6">
        <v>2.026659318E9</v>
      </c>
      <c r="G127" s="6"/>
      <c r="H127" s="6"/>
      <c r="I127" s="6"/>
      <c r="J127" s="6"/>
      <c r="K127" s="6"/>
      <c r="L127" s="6" t="str">
        <f t="shared" si="2"/>
        <v/>
      </c>
      <c r="M127" s="6" t="s">
        <v>179</v>
      </c>
      <c r="N127" s="8" t="s">
        <v>33</v>
      </c>
    </row>
    <row r="128" ht="15.0" customHeight="1">
      <c r="A128" s="5">
        <v>46277.0</v>
      </c>
      <c r="B128" s="6" t="str">
        <f t="shared" si="1"/>
        <v>Sat</v>
      </c>
      <c r="C128" s="6" t="s">
        <v>181</v>
      </c>
      <c r="D128" s="6" t="s">
        <v>152</v>
      </c>
      <c r="E128" s="6" t="s">
        <v>119</v>
      </c>
      <c r="F128" s="6">
        <v>2.026724111E9</v>
      </c>
      <c r="G128" s="6"/>
      <c r="H128" s="6"/>
      <c r="I128" s="6"/>
      <c r="J128" s="6"/>
      <c r="K128" s="6"/>
      <c r="L128" s="6" t="str">
        <f t="shared" si="2"/>
        <v/>
      </c>
      <c r="M128" s="6" t="s">
        <v>179</v>
      </c>
      <c r="N128" s="8" t="s">
        <v>33</v>
      </c>
    </row>
    <row r="129" ht="15.0" customHeight="1">
      <c r="A129" s="5">
        <v>46278.0</v>
      </c>
      <c r="B129" s="6" t="str">
        <f t="shared" si="1"/>
        <v>Sun</v>
      </c>
      <c r="C129" s="6" t="s">
        <v>108</v>
      </c>
      <c r="D129" s="6" t="s">
        <v>153</v>
      </c>
      <c r="E129" s="6" t="s">
        <v>144</v>
      </c>
      <c r="F129" s="6">
        <v>2.026659319E9</v>
      </c>
      <c r="G129" s="6"/>
      <c r="H129" s="6"/>
      <c r="I129" s="6"/>
      <c r="J129" s="6"/>
      <c r="K129" s="6"/>
      <c r="L129" s="6" t="str">
        <f t="shared" si="2"/>
        <v/>
      </c>
      <c r="M129" s="6" t="s">
        <v>179</v>
      </c>
      <c r="N129" s="8" t="s">
        <v>33</v>
      </c>
    </row>
    <row r="130" ht="15.0" customHeight="1">
      <c r="A130" s="5">
        <v>46278.0</v>
      </c>
      <c r="B130" s="6" t="str">
        <f t="shared" si="1"/>
        <v>Sun</v>
      </c>
      <c r="C130" s="6" t="s">
        <v>181</v>
      </c>
      <c r="D130" s="6" t="s">
        <v>152</v>
      </c>
      <c r="E130" s="6" t="s">
        <v>119</v>
      </c>
      <c r="F130" s="6">
        <v>2.026724112E9</v>
      </c>
      <c r="G130" s="6"/>
      <c r="H130" s="6"/>
      <c r="I130" s="6"/>
      <c r="J130" s="6"/>
      <c r="K130" s="6"/>
      <c r="L130" s="6" t="str">
        <f t="shared" si="2"/>
        <v/>
      </c>
      <c r="M130" s="6" t="s">
        <v>179</v>
      </c>
      <c r="N130" s="8" t="s">
        <v>33</v>
      </c>
    </row>
    <row r="131" ht="15.0" customHeight="1">
      <c r="A131" s="5">
        <v>46284.0</v>
      </c>
      <c r="B131" s="6" t="str">
        <f t="shared" si="1"/>
        <v>Sat</v>
      </c>
      <c r="C131" s="6" t="s">
        <v>141</v>
      </c>
      <c r="D131" s="6" t="s">
        <v>59</v>
      </c>
      <c r="E131" s="6" t="s">
        <v>37</v>
      </c>
      <c r="F131" s="6">
        <v>2.026694024E9</v>
      </c>
      <c r="G131" s="6"/>
      <c r="H131" s="6"/>
      <c r="I131" s="6"/>
      <c r="J131" s="6"/>
      <c r="K131" s="6"/>
      <c r="L131" s="6" t="str">
        <f t="shared" si="2"/>
        <v/>
      </c>
      <c r="M131" s="6" t="s">
        <v>179</v>
      </c>
      <c r="N131" s="8" t="s">
        <v>33</v>
      </c>
    </row>
    <row r="132" ht="15.0" customHeight="1">
      <c r="A132" s="5">
        <v>46284.0</v>
      </c>
      <c r="B132" s="6" t="str">
        <f t="shared" si="1"/>
        <v>Sat</v>
      </c>
      <c r="C132" s="6" t="s">
        <v>128</v>
      </c>
      <c r="D132" s="6" t="s">
        <v>182</v>
      </c>
      <c r="E132" s="6" t="s">
        <v>133</v>
      </c>
      <c r="F132" s="6">
        <v>2.026098829E9</v>
      </c>
      <c r="G132" s="6"/>
      <c r="H132" s="6"/>
      <c r="I132" s="6"/>
      <c r="J132" s="6"/>
      <c r="K132" s="6"/>
      <c r="L132" s="6" t="str">
        <f t="shared" si="2"/>
        <v/>
      </c>
      <c r="M132" s="6" t="s">
        <v>179</v>
      </c>
      <c r="N132" s="8" t="s">
        <v>33</v>
      </c>
    </row>
    <row r="133" ht="15.0" customHeight="1">
      <c r="A133" s="5">
        <v>46284.0</v>
      </c>
      <c r="B133" s="6" t="str">
        <f t="shared" si="1"/>
        <v>Sat</v>
      </c>
      <c r="C133" s="6" t="s">
        <v>97</v>
      </c>
      <c r="D133" s="6" t="s">
        <v>183</v>
      </c>
      <c r="E133" s="6" t="s">
        <v>92</v>
      </c>
      <c r="F133" s="6">
        <v>2.026288909E9</v>
      </c>
      <c r="G133" s="6"/>
      <c r="H133" s="6"/>
      <c r="I133" s="6"/>
      <c r="J133" s="6"/>
      <c r="K133" s="6"/>
      <c r="L133" s="6" t="str">
        <f t="shared" si="2"/>
        <v/>
      </c>
      <c r="M133" s="6" t="s">
        <v>179</v>
      </c>
      <c r="N133" s="8" t="s">
        <v>33</v>
      </c>
    </row>
    <row r="134" ht="15.0" customHeight="1">
      <c r="A134" s="5">
        <v>46285.0</v>
      </c>
      <c r="B134" s="6" t="str">
        <f t="shared" si="1"/>
        <v>Sun</v>
      </c>
      <c r="C134" s="6" t="s">
        <v>141</v>
      </c>
      <c r="D134" s="6" t="s">
        <v>59</v>
      </c>
      <c r="E134" s="6" t="s">
        <v>37</v>
      </c>
      <c r="F134" s="6">
        <v>2.026694025E9</v>
      </c>
      <c r="G134" s="6"/>
      <c r="H134" s="6"/>
      <c r="I134" s="6"/>
      <c r="J134" s="6"/>
      <c r="K134" s="6"/>
      <c r="L134" s="6" t="str">
        <f t="shared" si="2"/>
        <v/>
      </c>
      <c r="M134" s="6" t="s">
        <v>179</v>
      </c>
      <c r="N134" s="8" t="s">
        <v>33</v>
      </c>
    </row>
    <row r="135" ht="15.0" customHeight="1">
      <c r="A135" s="5">
        <v>46285.0</v>
      </c>
      <c r="B135" s="6" t="str">
        <f t="shared" si="1"/>
        <v>Sun</v>
      </c>
      <c r="C135" s="6" t="s">
        <v>128</v>
      </c>
      <c r="D135" s="6" t="s">
        <v>182</v>
      </c>
      <c r="E135" s="6" t="s">
        <v>133</v>
      </c>
      <c r="F135" s="6">
        <v>2.02609883E9</v>
      </c>
      <c r="G135" s="6"/>
      <c r="H135" s="6"/>
      <c r="I135" s="6"/>
      <c r="J135" s="6"/>
      <c r="K135" s="6"/>
      <c r="L135" s="6" t="str">
        <f t="shared" si="2"/>
        <v/>
      </c>
      <c r="M135" s="6" t="s">
        <v>179</v>
      </c>
      <c r="N135" s="8" t="s">
        <v>33</v>
      </c>
    </row>
    <row r="136" ht="15.0" customHeight="1">
      <c r="A136" s="5">
        <v>46285.0</v>
      </c>
      <c r="B136" s="6" t="str">
        <f t="shared" si="1"/>
        <v>Sun</v>
      </c>
      <c r="C136" s="6" t="s">
        <v>97</v>
      </c>
      <c r="D136" s="6" t="s">
        <v>183</v>
      </c>
      <c r="E136" s="6" t="s">
        <v>92</v>
      </c>
      <c r="F136" s="6">
        <v>2.026288908E9</v>
      </c>
      <c r="G136" s="6"/>
      <c r="H136" s="6"/>
      <c r="I136" s="6"/>
      <c r="J136" s="6"/>
      <c r="K136" s="6"/>
      <c r="L136" s="6" t="str">
        <f t="shared" si="2"/>
        <v/>
      </c>
      <c r="M136" s="6" t="s">
        <v>179</v>
      </c>
      <c r="N136" s="8" t="s">
        <v>33</v>
      </c>
    </row>
    <row r="137" ht="15.0" customHeight="1">
      <c r="A137" s="5">
        <v>46291.0</v>
      </c>
      <c r="B137" s="6" t="str">
        <f t="shared" si="1"/>
        <v>Sat</v>
      </c>
      <c r="C137" s="6" t="s">
        <v>125</v>
      </c>
      <c r="D137" s="6" t="s">
        <v>126</v>
      </c>
      <c r="E137" s="6" t="s">
        <v>127</v>
      </c>
      <c r="F137" s="6">
        <v>2.026717512E9</v>
      </c>
      <c r="G137" s="6"/>
      <c r="H137" s="6"/>
      <c r="I137" s="6"/>
      <c r="J137" s="6"/>
      <c r="K137" s="6"/>
      <c r="L137" s="6" t="str">
        <f t="shared" si="2"/>
        <v/>
      </c>
      <c r="M137" s="6" t="s">
        <v>179</v>
      </c>
      <c r="N137" s="8" t="s">
        <v>33</v>
      </c>
    </row>
    <row r="138" ht="15.0" customHeight="1">
      <c r="A138" s="5">
        <v>46292.0</v>
      </c>
      <c r="B138" s="6" t="str">
        <f t="shared" si="1"/>
        <v>Sun</v>
      </c>
      <c r="C138" s="6" t="s">
        <v>125</v>
      </c>
      <c r="D138" s="6" t="s">
        <v>126</v>
      </c>
      <c r="E138" s="6" t="s">
        <v>127</v>
      </c>
      <c r="F138" s="6">
        <v>2.026717513E9</v>
      </c>
      <c r="G138" s="6"/>
      <c r="H138" s="6"/>
      <c r="I138" s="6"/>
      <c r="J138" s="6"/>
      <c r="K138" s="6"/>
      <c r="L138" s="6" t="str">
        <f t="shared" si="2"/>
        <v/>
      </c>
      <c r="M138" s="6" t="s">
        <v>179</v>
      </c>
      <c r="N138" s="8" t="s">
        <v>33</v>
      </c>
    </row>
    <row r="139" ht="15.0" customHeight="1">
      <c r="A139" s="5">
        <v>46298.0</v>
      </c>
      <c r="B139" s="6" t="str">
        <f t="shared" si="1"/>
        <v>Sat</v>
      </c>
      <c r="C139" s="6" t="s">
        <v>58</v>
      </c>
      <c r="D139" s="6" t="s">
        <v>59</v>
      </c>
      <c r="E139" s="6" t="s">
        <v>37</v>
      </c>
      <c r="F139" s="6">
        <v>2.02628112E9</v>
      </c>
      <c r="G139" s="6"/>
      <c r="H139" s="6"/>
      <c r="I139" s="6"/>
      <c r="J139" s="6"/>
      <c r="K139" s="6"/>
      <c r="L139" s="6" t="str">
        <f t="shared" si="2"/>
        <v/>
      </c>
      <c r="M139" s="6" t="s">
        <v>179</v>
      </c>
      <c r="N139" s="8" t="s">
        <v>33</v>
      </c>
    </row>
    <row r="140" ht="15.0" customHeight="1">
      <c r="A140" s="5">
        <v>46298.0</v>
      </c>
      <c r="B140" s="6" t="str">
        <f t="shared" si="1"/>
        <v>Sat</v>
      </c>
      <c r="C140" s="6" t="s">
        <v>122</v>
      </c>
      <c r="D140" s="6" t="s">
        <v>160</v>
      </c>
      <c r="E140" s="6" t="s">
        <v>119</v>
      </c>
      <c r="F140" s="6">
        <v>2.026500903E9</v>
      </c>
      <c r="G140" s="6"/>
      <c r="H140" s="6"/>
      <c r="I140" s="6"/>
      <c r="J140" s="6"/>
      <c r="K140" s="6"/>
      <c r="L140" s="6" t="str">
        <f t="shared" si="2"/>
        <v/>
      </c>
      <c r="M140" s="6" t="s">
        <v>179</v>
      </c>
      <c r="N140" s="8" t="s">
        <v>33</v>
      </c>
    </row>
    <row r="141" ht="15.0" customHeight="1">
      <c r="A141" s="5">
        <v>46298.0</v>
      </c>
      <c r="B141" s="6" t="str">
        <f t="shared" si="1"/>
        <v>Sat</v>
      </c>
      <c r="C141" s="6" t="s">
        <v>81</v>
      </c>
      <c r="D141" s="6" t="s">
        <v>184</v>
      </c>
      <c r="E141" s="6" t="s">
        <v>88</v>
      </c>
      <c r="F141" s="6">
        <v>2.026265203E9</v>
      </c>
      <c r="G141" s="6"/>
      <c r="H141" s="6"/>
      <c r="I141" s="6"/>
      <c r="J141" s="6"/>
      <c r="K141" s="6"/>
      <c r="L141" s="6" t="str">
        <f t="shared" si="2"/>
        <v/>
      </c>
      <c r="M141" s="6" t="s">
        <v>179</v>
      </c>
      <c r="N141" s="8" t="s">
        <v>33</v>
      </c>
    </row>
    <row r="142" ht="15.0" customHeight="1">
      <c r="A142" s="5">
        <v>46298.0</v>
      </c>
      <c r="B142" s="6" t="str">
        <f t="shared" si="1"/>
        <v>Sat</v>
      </c>
      <c r="C142" s="6" t="s">
        <v>96</v>
      </c>
      <c r="D142" s="6" t="s">
        <v>70</v>
      </c>
      <c r="E142" s="6" t="s">
        <v>71</v>
      </c>
      <c r="F142" s="6">
        <v>2.026411311E9</v>
      </c>
      <c r="G142" s="6"/>
      <c r="H142" s="6"/>
      <c r="I142" s="6"/>
      <c r="J142" s="6"/>
      <c r="K142" s="6"/>
      <c r="L142" s="6" t="str">
        <f t="shared" si="2"/>
        <v/>
      </c>
      <c r="M142" s="6" t="s">
        <v>179</v>
      </c>
      <c r="N142" s="8" t="s">
        <v>33</v>
      </c>
    </row>
    <row r="143" ht="15.0" customHeight="1">
      <c r="A143" s="5">
        <v>46298.0</v>
      </c>
      <c r="B143" s="6" t="str">
        <f t="shared" si="1"/>
        <v>Sat</v>
      </c>
      <c r="C143" s="6" t="s">
        <v>185</v>
      </c>
      <c r="D143" s="6" t="s">
        <v>186</v>
      </c>
      <c r="E143" s="6" t="s">
        <v>159</v>
      </c>
      <c r="F143" s="6">
        <v>2.026695609E9</v>
      </c>
      <c r="G143" s="6"/>
      <c r="H143" s="6"/>
      <c r="I143" s="6"/>
      <c r="J143" s="6"/>
      <c r="K143" s="6"/>
      <c r="L143" s="6" t="str">
        <f t="shared" si="2"/>
        <v/>
      </c>
      <c r="M143" s="6" t="s">
        <v>179</v>
      </c>
      <c r="N143" s="8" t="s">
        <v>33</v>
      </c>
    </row>
    <row r="144" ht="15.0" customHeight="1">
      <c r="A144" s="5">
        <v>46299.0</v>
      </c>
      <c r="B144" s="6" t="str">
        <f t="shared" si="1"/>
        <v>Sun</v>
      </c>
      <c r="C144" s="6" t="s">
        <v>58</v>
      </c>
      <c r="D144" s="6" t="s">
        <v>59</v>
      </c>
      <c r="E144" s="6" t="s">
        <v>37</v>
      </c>
      <c r="F144" s="6">
        <v>2.026281121E9</v>
      </c>
      <c r="G144" s="6"/>
      <c r="H144" s="6"/>
      <c r="I144" s="6"/>
      <c r="J144" s="6"/>
      <c r="K144" s="6"/>
      <c r="L144" s="6" t="str">
        <f t="shared" si="2"/>
        <v/>
      </c>
      <c r="M144" s="6" t="s">
        <v>179</v>
      </c>
      <c r="N144" s="8" t="s">
        <v>33</v>
      </c>
    </row>
    <row r="145" ht="15.0" customHeight="1">
      <c r="A145" s="5">
        <v>46299.0</v>
      </c>
      <c r="B145" s="6" t="str">
        <f t="shared" si="1"/>
        <v>Sun</v>
      </c>
      <c r="C145" s="6" t="s">
        <v>185</v>
      </c>
      <c r="D145" s="6" t="s">
        <v>186</v>
      </c>
      <c r="E145" s="6" t="s">
        <v>159</v>
      </c>
      <c r="F145" s="6">
        <v>2.02669561E9</v>
      </c>
      <c r="G145" s="6"/>
      <c r="H145" s="6"/>
      <c r="I145" s="6"/>
      <c r="J145" s="6"/>
      <c r="K145" s="6"/>
      <c r="L145" s="6" t="str">
        <f t="shared" si="2"/>
        <v/>
      </c>
      <c r="M145" s="6" t="s">
        <v>179</v>
      </c>
      <c r="N145" s="8" t="s">
        <v>33</v>
      </c>
    </row>
    <row r="146" ht="15.0" customHeight="1">
      <c r="A146" s="5">
        <v>46299.0</v>
      </c>
      <c r="B146" s="6" t="str">
        <f t="shared" si="1"/>
        <v>Sun</v>
      </c>
      <c r="C146" s="6" t="s">
        <v>154</v>
      </c>
      <c r="D146" s="6" t="s">
        <v>187</v>
      </c>
      <c r="E146" s="6" t="s">
        <v>177</v>
      </c>
      <c r="F146" s="6">
        <v>2.026000709E9</v>
      </c>
      <c r="G146" s="6"/>
      <c r="H146" s="6"/>
      <c r="I146" s="6"/>
      <c r="J146" s="6"/>
      <c r="K146" s="6"/>
      <c r="L146" s="6" t="str">
        <f t="shared" si="2"/>
        <v/>
      </c>
      <c r="M146" s="6" t="s">
        <v>179</v>
      </c>
      <c r="N146" s="8" t="s">
        <v>33</v>
      </c>
    </row>
    <row r="147" ht="15.0" customHeight="1">
      <c r="A147" s="5">
        <v>46299.0</v>
      </c>
      <c r="B147" s="6" t="str">
        <f t="shared" si="1"/>
        <v>Sun</v>
      </c>
      <c r="C147" s="6" t="s">
        <v>96</v>
      </c>
      <c r="D147" s="6" t="s">
        <v>70</v>
      </c>
      <c r="E147" s="6" t="s">
        <v>71</v>
      </c>
      <c r="F147" s="6">
        <v>2.026411312E9</v>
      </c>
      <c r="G147" s="6"/>
      <c r="H147" s="6"/>
      <c r="I147" s="6"/>
      <c r="J147" s="6"/>
      <c r="K147" s="6"/>
      <c r="L147" s="6" t="str">
        <f t="shared" si="2"/>
        <v/>
      </c>
      <c r="M147" s="6" t="s">
        <v>179</v>
      </c>
      <c r="N147" s="8" t="s">
        <v>33</v>
      </c>
    </row>
    <row r="148" ht="15.0" customHeight="1">
      <c r="A148" s="5">
        <v>46299.0</v>
      </c>
      <c r="B148" s="6" t="str">
        <f t="shared" si="1"/>
        <v>Sun</v>
      </c>
      <c r="C148" s="6" t="s">
        <v>122</v>
      </c>
      <c r="D148" s="6" t="s">
        <v>160</v>
      </c>
      <c r="E148" s="6" t="s">
        <v>119</v>
      </c>
      <c r="F148" s="6">
        <v>2.026500904E9</v>
      </c>
      <c r="G148" s="6"/>
      <c r="H148" s="6"/>
      <c r="I148" s="6"/>
      <c r="J148" s="6"/>
      <c r="K148" s="6"/>
      <c r="L148" s="6" t="str">
        <f t="shared" si="2"/>
        <v/>
      </c>
      <c r="M148" s="6" t="s">
        <v>179</v>
      </c>
      <c r="N148" s="8" t="s">
        <v>33</v>
      </c>
    </row>
    <row r="149" ht="15.0" customHeight="1">
      <c r="A149" s="5">
        <v>46299.0</v>
      </c>
      <c r="B149" s="6" t="str">
        <f t="shared" si="1"/>
        <v>Sun</v>
      </c>
      <c r="C149" s="6" t="s">
        <v>81</v>
      </c>
      <c r="D149" s="6" t="s">
        <v>184</v>
      </c>
      <c r="E149" s="6" t="s">
        <v>88</v>
      </c>
      <c r="F149" s="6">
        <v>2.026265204E9</v>
      </c>
      <c r="G149" s="6"/>
      <c r="H149" s="6"/>
      <c r="I149" s="6"/>
      <c r="J149" s="6"/>
      <c r="K149" s="6"/>
      <c r="L149" s="6" t="str">
        <f t="shared" si="2"/>
        <v/>
      </c>
      <c r="M149" s="6" t="s">
        <v>179</v>
      </c>
      <c r="N149" s="8" t="s">
        <v>33</v>
      </c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autoFilter ref="$A$1:$N$149"/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  <hyperlink r:id="rId27" ref="N28"/>
    <hyperlink r:id="rId28" ref="N29"/>
    <hyperlink r:id="rId29" ref="N30"/>
    <hyperlink r:id="rId30" ref="N31"/>
    <hyperlink r:id="rId31" ref="N32"/>
    <hyperlink r:id="rId32" ref="N33"/>
    <hyperlink r:id="rId33" ref="N34"/>
    <hyperlink r:id="rId34" ref="N35"/>
    <hyperlink r:id="rId35" ref="N36"/>
    <hyperlink r:id="rId36" ref="N37"/>
    <hyperlink r:id="rId37" ref="N38"/>
    <hyperlink r:id="rId38" ref="N39"/>
    <hyperlink r:id="rId39" ref="N40"/>
    <hyperlink r:id="rId40" ref="N41"/>
    <hyperlink r:id="rId41" ref="N42"/>
    <hyperlink r:id="rId42" ref="N43"/>
    <hyperlink r:id="rId43" ref="N44"/>
    <hyperlink r:id="rId44" ref="N45"/>
    <hyperlink r:id="rId45" ref="N46"/>
    <hyperlink r:id="rId46" ref="N47"/>
    <hyperlink r:id="rId47" ref="N48"/>
    <hyperlink r:id="rId48" ref="N49"/>
    <hyperlink r:id="rId49" ref="N50"/>
    <hyperlink r:id="rId50" ref="N51"/>
    <hyperlink r:id="rId51" ref="N52"/>
    <hyperlink r:id="rId52" ref="N53"/>
    <hyperlink r:id="rId53" ref="N54"/>
    <hyperlink r:id="rId54" ref="N55"/>
    <hyperlink r:id="rId55" ref="N56"/>
    <hyperlink r:id="rId56" ref="N57"/>
    <hyperlink r:id="rId57" ref="N58"/>
    <hyperlink r:id="rId58" ref="N59"/>
    <hyperlink r:id="rId59" ref="N60"/>
    <hyperlink r:id="rId60" ref="N61"/>
    <hyperlink r:id="rId61" ref="N62"/>
    <hyperlink r:id="rId62" ref="N63"/>
    <hyperlink r:id="rId63" ref="N64"/>
    <hyperlink r:id="rId64" ref="N65"/>
    <hyperlink r:id="rId65" ref="N66"/>
    <hyperlink r:id="rId66" ref="N67"/>
    <hyperlink r:id="rId67" ref="N68"/>
    <hyperlink r:id="rId68" ref="N69"/>
    <hyperlink r:id="rId69" ref="N70"/>
    <hyperlink r:id="rId70" ref="N71"/>
    <hyperlink r:id="rId71" ref="N72"/>
    <hyperlink r:id="rId72" ref="N73"/>
    <hyperlink r:id="rId73" ref="N74"/>
    <hyperlink r:id="rId74" ref="N75"/>
    <hyperlink r:id="rId75" ref="N76"/>
    <hyperlink r:id="rId76" ref="N77"/>
    <hyperlink r:id="rId77" ref="N78"/>
    <hyperlink r:id="rId78" ref="N79"/>
    <hyperlink r:id="rId79" ref="N80"/>
    <hyperlink r:id="rId80" ref="N81"/>
    <hyperlink r:id="rId81" ref="N82"/>
    <hyperlink r:id="rId82" ref="N83"/>
    <hyperlink r:id="rId83" ref="N84"/>
    <hyperlink r:id="rId84" ref="N85"/>
    <hyperlink r:id="rId85" ref="N86"/>
    <hyperlink r:id="rId86" ref="N87"/>
    <hyperlink r:id="rId87" ref="N88"/>
    <hyperlink r:id="rId88" ref="N89"/>
    <hyperlink r:id="rId89" ref="N90"/>
    <hyperlink r:id="rId90" ref="N91"/>
    <hyperlink r:id="rId91" ref="N92"/>
    <hyperlink r:id="rId92" ref="N93"/>
    <hyperlink r:id="rId93" ref="N94"/>
    <hyperlink r:id="rId94" ref="N95"/>
    <hyperlink r:id="rId95" ref="N96"/>
    <hyperlink r:id="rId96" ref="N97"/>
    <hyperlink r:id="rId97" ref="N98"/>
    <hyperlink r:id="rId98" ref="N99"/>
    <hyperlink r:id="rId99" ref="N100"/>
    <hyperlink r:id="rId100" ref="N101"/>
    <hyperlink r:id="rId101" ref="N102"/>
    <hyperlink r:id="rId102" ref="N103"/>
    <hyperlink r:id="rId103" ref="N104"/>
    <hyperlink r:id="rId104" ref="N105"/>
    <hyperlink r:id="rId105" ref="N106"/>
    <hyperlink r:id="rId106" ref="N107"/>
    <hyperlink r:id="rId107" ref="N108"/>
    <hyperlink r:id="rId108" ref="N109"/>
    <hyperlink r:id="rId109" ref="N110"/>
    <hyperlink r:id="rId110" ref="N111"/>
    <hyperlink r:id="rId111" ref="N112"/>
    <hyperlink r:id="rId112" ref="N113"/>
    <hyperlink r:id="rId113" ref="N114"/>
    <hyperlink r:id="rId114" ref="N115"/>
    <hyperlink r:id="rId115" ref="N116"/>
    <hyperlink r:id="rId116" ref="N117"/>
    <hyperlink r:id="rId117" ref="N118"/>
    <hyperlink r:id="rId118" ref="N119"/>
    <hyperlink r:id="rId119" ref="N120"/>
    <hyperlink r:id="rId120" ref="N121"/>
    <hyperlink r:id="rId121" ref="N122"/>
    <hyperlink r:id="rId122" ref="N123"/>
    <hyperlink r:id="rId123" ref="N124"/>
    <hyperlink r:id="rId124" ref="N125"/>
    <hyperlink r:id="rId125" ref="N126"/>
    <hyperlink r:id="rId126" ref="N127"/>
    <hyperlink r:id="rId127" ref="N128"/>
    <hyperlink r:id="rId128" ref="N129"/>
    <hyperlink r:id="rId129" ref="N130"/>
    <hyperlink r:id="rId130" ref="N131"/>
    <hyperlink r:id="rId131" ref="N132"/>
    <hyperlink r:id="rId132" ref="N133"/>
    <hyperlink r:id="rId133" ref="N134"/>
    <hyperlink r:id="rId134" ref="N135"/>
    <hyperlink r:id="rId135" ref="N136"/>
    <hyperlink r:id="rId136" ref="N137"/>
    <hyperlink r:id="rId137" ref="N138"/>
    <hyperlink r:id="rId138" ref="N139"/>
    <hyperlink r:id="rId139" ref="N140"/>
    <hyperlink r:id="rId140" ref="N141"/>
    <hyperlink r:id="rId141" ref="N142"/>
    <hyperlink r:id="rId142" ref="N143"/>
    <hyperlink r:id="rId143" ref="N144"/>
    <hyperlink r:id="rId144" ref="N145"/>
    <hyperlink r:id="rId145" ref="N146"/>
    <hyperlink r:id="rId146" ref="N147"/>
    <hyperlink r:id="rId147" ref="N148"/>
    <hyperlink r:id="rId148" ref="N149"/>
  </hyperlinks>
  <printOptions/>
  <pageMargins bottom="1.0" footer="0.0" header="0.0" left="0.75" right="0.75" top="1.0"/>
  <pageSetup paperSize="9" orientation="portrait"/>
  <drawing r:id="rId1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7" width="14.0"/>
    <col customWidth="1" min="8" max="26" width="8.71"/>
  </cols>
  <sheetData>
    <row r="1" ht="17.25" customHeight="1">
      <c r="A1" s="1" t="s">
        <v>2</v>
      </c>
      <c r="B1" s="4"/>
      <c r="C1" s="4"/>
      <c r="D1" s="4"/>
      <c r="E1" s="4"/>
      <c r="F1" s="4"/>
      <c r="G1" s="4"/>
    </row>
    <row r="2" ht="15.0" customHeight="1">
      <c r="A2" s="3" t="s">
        <v>23</v>
      </c>
      <c r="B2" s="4"/>
      <c r="C2" s="4"/>
      <c r="D2" s="4"/>
      <c r="E2" s="4"/>
      <c r="F2" s="4"/>
      <c r="G2" s="4"/>
    </row>
    <row r="3">
      <c r="A3" s="4"/>
      <c r="B3" s="4"/>
      <c r="C3" s="4"/>
      <c r="D3" s="4"/>
      <c r="E3" s="4"/>
      <c r="F3" s="4"/>
      <c r="G3" s="4"/>
    </row>
    <row r="4" ht="15.0" customHeight="1">
      <c r="A4" s="6" t="s">
        <v>25</v>
      </c>
      <c r="B4" s="7">
        <f>COUNTA(Trials!$F$2:$F$149)</f>
        <v>148</v>
      </c>
      <c r="C4" s="4"/>
      <c r="D4" s="4"/>
      <c r="E4" s="4"/>
      <c r="F4" s="4"/>
      <c r="G4" s="4"/>
    </row>
    <row r="5" ht="15.0" customHeight="1">
      <c r="A5" s="6" t="s">
        <v>31</v>
      </c>
      <c r="B5" s="7">
        <f>COUNTIF(Trials!$M$2:$M$149,"Yes")</f>
        <v>123</v>
      </c>
      <c r="C5" s="4"/>
      <c r="D5" s="4"/>
      <c r="E5" s="4"/>
      <c r="F5" s="4"/>
      <c r="G5" s="4"/>
    </row>
    <row r="6" ht="15.0" customHeight="1">
      <c r="A6" s="6" t="s">
        <v>34</v>
      </c>
      <c r="B6" s="7">
        <f>COUNTIF(Trials!$M$2:$M$149,"No")</f>
        <v>25</v>
      </c>
      <c r="C6" s="4"/>
      <c r="D6" s="4"/>
      <c r="E6" s="4"/>
      <c r="F6" s="4"/>
      <c r="G6" s="4"/>
    </row>
    <row r="7" ht="15.0" customHeight="1">
      <c r="A7" s="6" t="s">
        <v>12</v>
      </c>
      <c r="B7" s="7">
        <f>SUM(Trials!$H$2:$H$149)</f>
        <v>3938</v>
      </c>
      <c r="C7" s="4"/>
      <c r="D7" s="4"/>
      <c r="E7" s="4"/>
      <c r="F7" s="4"/>
      <c r="G7" s="4"/>
    </row>
    <row r="8" ht="15.0" customHeight="1">
      <c r="A8" s="6" t="s">
        <v>14</v>
      </c>
      <c r="B8" s="7">
        <f>SUM(Trials!$I$2:$I$149)</f>
        <v>3828</v>
      </c>
      <c r="C8" s="4"/>
      <c r="D8" s="4"/>
      <c r="E8" s="4"/>
      <c r="F8" s="4"/>
      <c r="G8" s="4"/>
    </row>
    <row r="9" ht="15.0" customHeight="1">
      <c r="A9" s="6" t="s">
        <v>15</v>
      </c>
      <c r="B9" s="7">
        <f>SUM(Trials!$J$2:$J$149)</f>
        <v>622</v>
      </c>
      <c r="C9" s="4"/>
      <c r="D9" s="4"/>
      <c r="E9" s="4"/>
      <c r="F9" s="4"/>
      <c r="G9" s="4"/>
    </row>
    <row r="10" ht="15.0" customHeight="1">
      <c r="A10" s="6" t="s">
        <v>17</v>
      </c>
      <c r="B10" s="7">
        <f>SUM(Trials!$K$2:$K$149)</f>
        <v>606</v>
      </c>
      <c r="C10" s="4"/>
      <c r="D10" s="4"/>
      <c r="E10" s="4"/>
      <c r="F10" s="4"/>
      <c r="G10" s="4"/>
    </row>
    <row r="11" ht="15.0" customHeight="1">
      <c r="A11" s="6" t="s">
        <v>38</v>
      </c>
      <c r="B11" s="7">
        <f>SUM(Trials!$L$2:$L$149)</f>
        <v>4560</v>
      </c>
      <c r="C11" s="4"/>
      <c r="D11" s="4"/>
      <c r="E11" s="4"/>
      <c r="F11" s="4"/>
      <c r="G11" s="4"/>
    </row>
    <row r="12" ht="15.0" customHeight="1">
      <c r="A12" s="6" t="s">
        <v>39</v>
      </c>
      <c r="B12" s="7">
        <f>COUNT(Trials!$H$2:$H$149)</f>
        <v>121</v>
      </c>
      <c r="C12" s="4"/>
      <c r="D12" s="4"/>
      <c r="E12" s="4"/>
      <c r="F12" s="4"/>
      <c r="G12" s="4"/>
    </row>
    <row r="13" ht="15.0" customHeight="1">
      <c r="A13" s="6" t="s">
        <v>40</v>
      </c>
      <c r="B13" s="10">
        <f>B7/B12</f>
        <v>32.54545455</v>
      </c>
      <c r="C13" s="4"/>
      <c r="D13" s="4"/>
      <c r="E13" s="4"/>
      <c r="F13" s="4"/>
      <c r="G13" s="4"/>
    </row>
    <row r="14" ht="15.0" customHeight="1">
      <c r="A14" s="6" t="s">
        <v>44</v>
      </c>
      <c r="B14" s="7">
        <f>MAX(Trials!$H$2:$H$149)</f>
        <v>77</v>
      </c>
      <c r="C14" s="4"/>
      <c r="D14" s="4"/>
      <c r="E14" s="4"/>
      <c r="F14" s="4"/>
      <c r="G14" s="4"/>
    </row>
    <row r="15" ht="15.0" customHeight="1">
      <c r="A15" s="6" t="s">
        <v>48</v>
      </c>
      <c r="B15" s="7">
        <f>MIN(Trials!$H$2:$H$149)</f>
        <v>6</v>
      </c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 ht="15.0" customHeight="1">
      <c r="A17" s="11" t="s">
        <v>50</v>
      </c>
      <c r="B17" s="4"/>
      <c r="C17" s="4"/>
      <c r="D17" s="4"/>
      <c r="E17" s="4"/>
      <c r="F17" s="4"/>
      <c r="G17" s="4"/>
    </row>
    <row r="18" ht="26.25" customHeight="1">
      <c r="A18" s="12" t="s">
        <v>51</v>
      </c>
      <c r="B18" s="12" t="s">
        <v>52</v>
      </c>
      <c r="C18" s="12" t="s">
        <v>53</v>
      </c>
      <c r="D18" s="12" t="s">
        <v>12</v>
      </c>
      <c r="E18" s="12" t="s">
        <v>20</v>
      </c>
      <c r="F18" s="12" t="s">
        <v>19</v>
      </c>
      <c r="G18" s="12" t="s">
        <v>55</v>
      </c>
    </row>
    <row r="19" ht="15.0" customHeight="1">
      <c r="A19" s="13">
        <v>46023.0</v>
      </c>
      <c r="B19" s="6">
        <f>COUNTIFS(Trials!$A$2:$A$149,"&gt;="&amp;DATE(2026,1,1),Trials!$A$2:$A$149,"&lt;"&amp;DATE(2026,2,1))</f>
        <v>8</v>
      </c>
      <c r="C19" s="6">
        <f>COUNTIFS(Trials!$A$2:$A$149,"&gt;="&amp;DATE(2026,1,1),Trials!$A$2:$A$149,"&lt;"&amp;DATE(2026,2,1),Trials!$M$2:$M$149,"Yes")</f>
        <v>8</v>
      </c>
      <c r="D19" s="6">
        <f>SUMIFS(Trials!$H$2:$H$149,Trials!$A$2:$A$149,"&gt;="&amp;DATE(2026,1,1),Trials!$A$2:$A$149,"&lt;"&amp;DATE(2026,2,1))</f>
        <v>319</v>
      </c>
      <c r="E19" s="6">
        <f>SUMIFS(Trials!$J$2:$J$149,Trials!$A$2:$A$149,"&gt;="&amp;DATE(2026,1,1),Trials!$A$2:$A$149,"&lt;"&amp;DATE(2026,2,1))</f>
        <v>51</v>
      </c>
      <c r="F19" s="6">
        <f t="shared" ref="F19:F28" si="1">D19+E19</f>
        <v>370</v>
      </c>
      <c r="G19" s="9">
        <f>IF(COUNTIFS(Trials!$A$2:$A$149,"&gt;="&amp;DATE(2026,1,1),Trials!$A$2:$A$149,"&lt;"&amp;DATE(2026,2,1),Trials!$H$2:$H$149,"&gt;=0")=0,"",D19/COUNTIFS(Trials!$A$2:$A$149,"&gt;="&amp;DATE(2026,1,1),Trials!$A$2:$A$149,"&lt;"&amp;DATE(2026,2,1),Trials!$H$2:$H$149,"&gt;=0"))</f>
        <v>39.875</v>
      </c>
    </row>
    <row r="20" ht="15.0" customHeight="1">
      <c r="A20" s="13">
        <v>46054.0</v>
      </c>
      <c r="B20" s="6">
        <f>COUNTIFS(Trials!$A$2:$A$149,"&gt;="&amp;DATE(2026,2,1),Trials!$A$2:$A$149,"&lt;"&amp;DATE(2026,3,1))</f>
        <v>9</v>
      </c>
      <c r="C20" s="6">
        <f>COUNTIFS(Trials!$A$2:$A$149,"&gt;="&amp;DATE(2026,2,1),Trials!$A$2:$A$149,"&lt;"&amp;DATE(2026,3,1),Trials!$M$2:$M$149,"Yes")</f>
        <v>9</v>
      </c>
      <c r="D20" s="6">
        <f>SUMIFS(Trials!$H$2:$H$149,Trials!$A$2:$A$149,"&gt;="&amp;DATE(2026,2,1),Trials!$A$2:$A$149,"&lt;"&amp;DATE(2026,3,1))</f>
        <v>372</v>
      </c>
      <c r="E20" s="6">
        <f>SUMIFS(Trials!$J$2:$J$149,Trials!$A$2:$A$149,"&gt;="&amp;DATE(2026,2,1),Trials!$A$2:$A$149,"&lt;"&amp;DATE(2026,3,1))</f>
        <v>46</v>
      </c>
      <c r="F20" s="6">
        <f t="shared" si="1"/>
        <v>418</v>
      </c>
      <c r="G20" s="9">
        <f>IF(COUNTIFS(Trials!$A$2:$A$149,"&gt;="&amp;DATE(2026,2,1),Trials!$A$2:$A$149,"&lt;"&amp;DATE(2026,3,1),Trials!$H$2:$H$149,"&gt;=0")=0,"",D20/COUNTIFS(Trials!$A$2:$A$149,"&gt;="&amp;DATE(2026,2,1),Trials!$A$2:$A$149,"&lt;"&amp;DATE(2026,3,1),Trials!$H$2:$H$149,"&gt;=0"))</f>
        <v>41.33333333</v>
      </c>
    </row>
    <row r="21" ht="15.0" customHeight="1">
      <c r="A21" s="13">
        <v>46082.0</v>
      </c>
      <c r="B21" s="6">
        <f>COUNTIFS(Trials!$A$2:$A$149,"&gt;="&amp;DATE(2026,3,1),Trials!$A$2:$A$149,"&lt;"&amp;DATE(2026,4,1))</f>
        <v>20</v>
      </c>
      <c r="C21" s="6">
        <f>COUNTIFS(Trials!$A$2:$A$149,"&gt;="&amp;DATE(2026,3,1),Trials!$A$2:$A$149,"&lt;"&amp;DATE(2026,4,1),Trials!$M$2:$M$149,"Yes")</f>
        <v>20</v>
      </c>
      <c r="D21" s="6">
        <f>SUMIFS(Trials!$H$2:$H$149,Trials!$A$2:$A$149,"&gt;="&amp;DATE(2026,3,1),Trials!$A$2:$A$149,"&lt;"&amp;DATE(2026,4,1))</f>
        <v>784</v>
      </c>
      <c r="E21" s="6">
        <f>SUMIFS(Trials!$J$2:$J$149,Trials!$A$2:$A$149,"&gt;="&amp;DATE(2026,3,1),Trials!$A$2:$A$149,"&lt;"&amp;DATE(2026,4,1))</f>
        <v>126</v>
      </c>
      <c r="F21" s="6">
        <f t="shared" si="1"/>
        <v>910</v>
      </c>
      <c r="G21" s="9">
        <f>IF(COUNTIFS(Trials!$A$2:$A$149,"&gt;="&amp;DATE(2026,3,1),Trials!$A$2:$A$149,"&lt;"&amp;DATE(2026,4,1),Trials!$H$2:$H$149,"&gt;=0")=0,"",D21/COUNTIFS(Trials!$A$2:$A$149,"&gt;="&amp;DATE(2026,3,1),Trials!$A$2:$A$149,"&lt;"&amp;DATE(2026,4,1),Trials!$H$2:$H$149,"&gt;=0"))</f>
        <v>39.2</v>
      </c>
    </row>
    <row r="22" ht="15.0" customHeight="1">
      <c r="A22" s="13">
        <v>46113.0</v>
      </c>
      <c r="B22" s="6">
        <f>COUNTIFS(Trials!$A$2:$A$149,"&gt;="&amp;DATE(2026,4,1),Trials!$A$2:$A$149,"&lt;"&amp;DATE(2026,5,1))</f>
        <v>17</v>
      </c>
      <c r="C22" s="6">
        <f>COUNTIFS(Trials!$A$2:$A$149,"&gt;="&amp;DATE(2026,4,1),Trials!$A$2:$A$149,"&lt;"&amp;DATE(2026,5,1),Trials!$M$2:$M$149,"Yes")</f>
        <v>17</v>
      </c>
      <c r="D22" s="6">
        <f>SUMIFS(Trials!$H$2:$H$149,Trials!$A$2:$A$149,"&gt;="&amp;DATE(2026,4,1),Trials!$A$2:$A$149,"&lt;"&amp;DATE(2026,5,1))</f>
        <v>556</v>
      </c>
      <c r="E22" s="6">
        <f>SUMIFS(Trials!$J$2:$J$149,Trials!$A$2:$A$149,"&gt;="&amp;DATE(2026,4,1),Trials!$A$2:$A$149,"&lt;"&amp;DATE(2026,5,1))</f>
        <v>80</v>
      </c>
      <c r="F22" s="6">
        <f t="shared" si="1"/>
        <v>636</v>
      </c>
      <c r="G22" s="9">
        <f>IF(COUNTIFS(Trials!$A$2:$A$149,"&gt;="&amp;DATE(2026,4,1),Trials!$A$2:$A$149,"&lt;"&amp;DATE(2026,5,1),Trials!$H$2:$H$149,"&gt;=0")=0,"",D22/COUNTIFS(Trials!$A$2:$A$149,"&gt;="&amp;DATE(2026,4,1),Trials!$A$2:$A$149,"&lt;"&amp;DATE(2026,5,1),Trials!$H$2:$H$149,"&gt;=0"))</f>
        <v>32.70588235</v>
      </c>
    </row>
    <row r="23" ht="15.0" customHeight="1">
      <c r="A23" s="13">
        <v>46143.0</v>
      </c>
      <c r="B23" s="6">
        <f>COUNTIFS(Trials!$A$2:$A$149,"&gt;="&amp;DATE(2026,5,1),Trials!$A$2:$A$149,"&lt;"&amp;DATE(2026,6,1))</f>
        <v>34</v>
      </c>
      <c r="C23" s="6">
        <f>COUNTIFS(Trials!$A$2:$A$149,"&gt;="&amp;DATE(2026,5,1),Trials!$A$2:$A$149,"&lt;"&amp;DATE(2026,6,1),Trials!$M$2:$M$149,"Yes")</f>
        <v>34</v>
      </c>
      <c r="D23" s="6">
        <f>SUMIFS(Trials!$H$2:$H$149,Trials!$A$2:$A$149,"&gt;="&amp;DATE(2026,5,1),Trials!$A$2:$A$149,"&lt;"&amp;DATE(2026,6,1))</f>
        <v>878</v>
      </c>
      <c r="E23" s="6">
        <f>SUMIFS(Trials!$J$2:$J$149,Trials!$A$2:$A$149,"&gt;="&amp;DATE(2026,5,1),Trials!$A$2:$A$149,"&lt;"&amp;DATE(2026,6,1))</f>
        <v>159</v>
      </c>
      <c r="F23" s="6">
        <f t="shared" si="1"/>
        <v>1037</v>
      </c>
      <c r="G23" s="9">
        <f>IF(COUNTIFS(Trials!$A$2:$A$149,"&gt;="&amp;DATE(2026,5,1),Trials!$A$2:$A$149,"&lt;"&amp;DATE(2026,6,1),Trials!$H$2:$H$149,"&gt;=0")=0,"",D23/COUNTIFS(Trials!$A$2:$A$149,"&gt;="&amp;DATE(2026,5,1),Trials!$A$2:$A$149,"&lt;"&amp;DATE(2026,6,1),Trials!$H$2:$H$149,"&gt;=0"))</f>
        <v>26.60606061</v>
      </c>
    </row>
    <row r="24" ht="15.0" customHeight="1">
      <c r="A24" s="13">
        <v>46174.0</v>
      </c>
      <c r="B24" s="6">
        <f>COUNTIFS(Trials!$A$2:$A$149,"&gt;="&amp;DATE(2026,6,1),Trials!$A$2:$A$149,"&lt;"&amp;DATE(2026,7,1))</f>
        <v>20</v>
      </c>
      <c r="C24" s="6">
        <f>COUNTIFS(Trials!$A$2:$A$149,"&gt;="&amp;DATE(2026,6,1),Trials!$A$2:$A$149,"&lt;"&amp;DATE(2026,7,1),Trials!$M$2:$M$149,"Yes")</f>
        <v>20</v>
      </c>
      <c r="D24" s="6">
        <f>SUMIFS(Trials!$H$2:$H$149,Trials!$A$2:$A$149,"&gt;="&amp;DATE(2026,6,1),Trials!$A$2:$A$149,"&lt;"&amp;DATE(2026,7,1))</f>
        <v>588</v>
      </c>
      <c r="E24" s="6">
        <f>SUMIFS(Trials!$J$2:$J$149,Trials!$A$2:$A$149,"&gt;="&amp;DATE(2026,6,1),Trials!$A$2:$A$149,"&lt;"&amp;DATE(2026,7,1))</f>
        <v>101</v>
      </c>
      <c r="F24" s="6">
        <f t="shared" si="1"/>
        <v>689</v>
      </c>
      <c r="G24" s="9">
        <f>IF(COUNTIFS(Trials!$A$2:$A$149,"&gt;="&amp;DATE(2026,6,1),Trials!$A$2:$A$149,"&lt;"&amp;DATE(2026,7,1),Trials!$H$2:$H$149,"&gt;=0")=0,"",D24/COUNTIFS(Trials!$A$2:$A$149,"&gt;="&amp;DATE(2026,6,1),Trials!$A$2:$A$149,"&lt;"&amp;DATE(2026,7,1),Trials!$H$2:$H$149,"&gt;=0"))</f>
        <v>30.94736842</v>
      </c>
    </row>
    <row r="25" ht="15.0" customHeight="1">
      <c r="A25" s="13">
        <v>46204.0</v>
      </c>
      <c r="B25" s="6">
        <f>COUNTIFS(Trials!$A$2:$A$149,"&gt;="&amp;DATE(2026,7,1),Trials!$A$2:$A$149,"&lt;"&amp;DATE(2026,8,1))</f>
        <v>8</v>
      </c>
      <c r="C25" s="6">
        <f>COUNTIFS(Trials!$A$2:$A$149,"&gt;="&amp;DATE(2026,7,1),Trials!$A$2:$A$149,"&lt;"&amp;DATE(2026,8,1),Trials!$M$2:$M$149,"Yes")</f>
        <v>8</v>
      </c>
      <c r="D25" s="6">
        <f>SUMIFS(Trials!$H$2:$H$149,Trials!$A$2:$A$149,"&gt;="&amp;DATE(2026,7,1),Trials!$A$2:$A$149,"&lt;"&amp;DATE(2026,8,1))</f>
        <v>189</v>
      </c>
      <c r="E25" s="6">
        <f>SUMIFS(Trials!$J$2:$J$149,Trials!$A$2:$A$149,"&gt;="&amp;DATE(2026,7,1),Trials!$A$2:$A$149,"&lt;"&amp;DATE(2026,8,1))</f>
        <v>33</v>
      </c>
      <c r="F25" s="6">
        <f t="shared" si="1"/>
        <v>222</v>
      </c>
      <c r="G25" s="9">
        <f>IF(COUNTIFS(Trials!$A$2:$A$149,"&gt;="&amp;DATE(2026,7,1),Trials!$A$2:$A$149,"&lt;"&amp;DATE(2026,8,1),Trials!$H$2:$H$149,"&gt;=0")=0,"",D25/COUNTIFS(Trials!$A$2:$A$149,"&gt;="&amp;DATE(2026,7,1),Trials!$A$2:$A$149,"&lt;"&amp;DATE(2026,8,1),Trials!$H$2:$H$149,"&gt;=0"))</f>
        <v>23.625</v>
      </c>
    </row>
    <row r="26" ht="15.0" customHeight="1">
      <c r="A26" s="13">
        <v>46235.0</v>
      </c>
      <c r="B26" s="6">
        <f>COUNTIFS(Trials!$A$2:$A$149,"&gt;="&amp;DATE(2026,8,1),Trials!$A$2:$A$149,"&lt;"&amp;DATE(2026,9,1))</f>
        <v>4</v>
      </c>
      <c r="C26" s="6">
        <f>COUNTIFS(Trials!$A$2:$A$149,"&gt;="&amp;DATE(2026,8,1),Trials!$A$2:$A$149,"&lt;"&amp;DATE(2026,9,1),Trials!$M$2:$M$149,"Yes")</f>
        <v>4</v>
      </c>
      <c r="D26" s="6">
        <f>SUMIFS(Trials!$H$2:$H$149,Trials!$A$2:$A$149,"&gt;="&amp;DATE(2026,8,1),Trials!$A$2:$A$149,"&lt;"&amp;DATE(2026,9,1))</f>
        <v>115</v>
      </c>
      <c r="E26" s="6">
        <f>SUMIFS(Trials!$J$2:$J$149,Trials!$A$2:$A$149,"&gt;="&amp;DATE(2026,8,1),Trials!$A$2:$A$149,"&lt;"&amp;DATE(2026,9,1))</f>
        <v>20</v>
      </c>
      <c r="F26" s="6">
        <f t="shared" si="1"/>
        <v>135</v>
      </c>
      <c r="G26" s="9">
        <f>IF(COUNTIFS(Trials!$A$2:$A$149,"&gt;="&amp;DATE(2026,8,1),Trials!$A$2:$A$149,"&lt;"&amp;DATE(2026,9,1),Trials!$H$2:$H$149,"&gt;=0")=0,"",D26/COUNTIFS(Trials!$A$2:$A$149,"&gt;="&amp;DATE(2026,8,1),Trials!$A$2:$A$149,"&lt;"&amp;DATE(2026,9,1),Trials!$H$2:$H$149,"&gt;=0"))</f>
        <v>28.75</v>
      </c>
    </row>
    <row r="27" ht="15.0" customHeight="1">
      <c r="A27" s="13">
        <v>46266.0</v>
      </c>
      <c r="B27" s="6">
        <f>COUNTIFS(Trials!$A$2:$A$149,"&gt;="&amp;DATE(2026,9,1),Trials!$A$2:$A$149,"&lt;"&amp;DATE(2026,10,1))</f>
        <v>17</v>
      </c>
      <c r="C27" s="6">
        <f>COUNTIFS(Trials!$A$2:$A$149,"&gt;="&amp;DATE(2026,9,1),Trials!$A$2:$A$149,"&lt;"&amp;DATE(2026,10,1),Trials!$M$2:$M$149,"Yes")</f>
        <v>3</v>
      </c>
      <c r="D27" s="6">
        <f>SUMIFS(Trials!$H$2:$H$149,Trials!$A$2:$A$149,"&gt;="&amp;DATE(2026,9,1),Trials!$A$2:$A$149,"&lt;"&amp;DATE(2026,10,1))</f>
        <v>137</v>
      </c>
      <c r="E27" s="6">
        <f>SUMIFS(Trials!$J$2:$J$149,Trials!$A$2:$A$149,"&gt;="&amp;DATE(2026,9,1),Trials!$A$2:$A$149,"&lt;"&amp;DATE(2026,10,1))</f>
        <v>6</v>
      </c>
      <c r="F27" s="6">
        <f t="shared" si="1"/>
        <v>143</v>
      </c>
      <c r="G27" s="9">
        <f>IF(COUNTIFS(Trials!$A$2:$A$149,"&gt;="&amp;DATE(2026,9,1),Trials!$A$2:$A$149,"&lt;"&amp;DATE(2026,10,1),Trials!$H$2:$H$149,"&gt;=0")=0,"",D27/COUNTIFS(Trials!$A$2:$A$149,"&gt;="&amp;DATE(2026,9,1),Trials!$A$2:$A$149,"&lt;"&amp;DATE(2026,10,1),Trials!$H$2:$H$149,"&gt;=0"))</f>
        <v>45.66666667</v>
      </c>
    </row>
    <row r="28" ht="15.0" customHeight="1">
      <c r="A28" s="13">
        <v>46296.0</v>
      </c>
      <c r="B28" s="6">
        <f>COUNTIFS(Trials!$A$2:$A$149,"&gt;="&amp;DATE(2026,10,1),Trials!$A$2:$A$149,"&lt;"&amp;DATE(2026,11,1))</f>
        <v>11</v>
      </c>
      <c r="C28" s="6">
        <f>COUNTIFS(Trials!$A$2:$A$149,"&gt;="&amp;DATE(2026,10,1),Trials!$A$2:$A$149,"&lt;"&amp;DATE(2026,11,1),Trials!$M$2:$M$149,"Yes")</f>
        <v>0</v>
      </c>
      <c r="D28" s="6">
        <f>SUMIFS(Trials!$H$2:$H$149,Trials!$A$2:$A$149,"&gt;="&amp;DATE(2026,10,1),Trials!$A$2:$A$149,"&lt;"&amp;DATE(2026,11,1))</f>
        <v>0</v>
      </c>
      <c r="E28" s="6">
        <f>SUMIFS(Trials!$J$2:$J$149,Trials!$A$2:$A$149,"&gt;="&amp;DATE(2026,10,1),Trials!$A$2:$A$149,"&lt;"&amp;DATE(2026,11,1))</f>
        <v>0</v>
      </c>
      <c r="F28" s="6">
        <f t="shared" si="1"/>
        <v>0</v>
      </c>
      <c r="G28" s="9" t="str">
        <f>IF(COUNTIFS(Trials!$A$2:$A$149,"&gt;="&amp;DATE(2026,10,1),Trials!$A$2:$A$149,"&lt;"&amp;DATE(2026,11,1),Trials!$H$2:$H$149,"&gt;=0")=0,"",D28/COUNTIFS(Trials!$A$2:$A$149,"&gt;="&amp;DATE(2026,10,1),Trials!$A$2:$A$149,"&lt;"&amp;DATE(2026,11,1),Trials!$H$2:$H$149,"&gt;=0"))</f>
        <v/>
      </c>
    </row>
    <row r="29" ht="15.0" customHeight="1">
      <c r="A29" s="7" t="s">
        <v>137</v>
      </c>
      <c r="B29" s="7">
        <f t="shared" ref="B29:F29" si="2">SUM(B19:B28)</f>
        <v>148</v>
      </c>
      <c r="C29" s="7">
        <f t="shared" si="2"/>
        <v>123</v>
      </c>
      <c r="D29" s="7">
        <f t="shared" si="2"/>
        <v>3938</v>
      </c>
      <c r="E29" s="7">
        <f t="shared" si="2"/>
        <v>622</v>
      </c>
      <c r="F29" s="7">
        <f t="shared" si="2"/>
        <v>4560</v>
      </c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0" customHeight="1">
      <c r="A32" s="11" t="s">
        <v>140</v>
      </c>
      <c r="B32" s="4"/>
      <c r="C32" s="4"/>
      <c r="D32" s="4"/>
      <c r="E32" s="4"/>
      <c r="F32" s="4"/>
      <c r="G32" s="4"/>
    </row>
    <row r="33" ht="26.25" customHeight="1">
      <c r="A33" s="12" t="s">
        <v>8</v>
      </c>
      <c r="B33" s="12" t="s">
        <v>52</v>
      </c>
      <c r="C33" s="12" t="s">
        <v>53</v>
      </c>
      <c r="D33" s="12" t="s">
        <v>12</v>
      </c>
      <c r="E33" s="12" t="s">
        <v>20</v>
      </c>
      <c r="F33" s="12" t="s">
        <v>19</v>
      </c>
      <c r="G33" s="12" t="s">
        <v>55</v>
      </c>
    </row>
    <row r="34" ht="15.0" customHeight="1">
      <c r="A34" s="6" t="s">
        <v>144</v>
      </c>
      <c r="B34" s="6">
        <f>COUNTIF(Trials!$E$2:$E$149,A34)</f>
        <v>7</v>
      </c>
      <c r="C34" s="6">
        <f>COUNTIFS(Trials!$E$2:$E$149,A34,Trials!$M$2:$M$149,"Yes")</f>
        <v>5</v>
      </c>
      <c r="D34" s="6">
        <f>SUMIF(Trials!$E$2:$E$149,A34,Trials!$H$2:$H$149)</f>
        <v>41</v>
      </c>
      <c r="E34" s="6">
        <f>SUMIF(Trials!$E$2:$E$149,A34,Trials!$J$2:$J$149)</f>
        <v>6</v>
      </c>
      <c r="F34" s="6">
        <f t="shared" ref="F34:F60" si="3">D34+E34</f>
        <v>47</v>
      </c>
      <c r="G34" s="9">
        <f>IF(COUNTIFS(Trials!$E$2:$E$149,A34,Trials!$H$2:$H$149,"&gt;=0")=0,"",D34/COUNTIFS(Trials!$E$2:$E$149,A34,Trials!$H$2:$H$149,"&gt;=0"))</f>
        <v>8.2</v>
      </c>
    </row>
    <row r="35" ht="15.0" customHeight="1">
      <c r="A35" s="6" t="s">
        <v>114</v>
      </c>
      <c r="B35" s="6">
        <f>COUNTIF(Trials!$E$2:$E$149,A35)</f>
        <v>2</v>
      </c>
      <c r="C35" s="6">
        <f>COUNTIFS(Trials!$E$2:$E$149,A35,Trials!$M$2:$M$149,"Yes")</f>
        <v>2</v>
      </c>
      <c r="D35" s="6">
        <f>SUMIF(Trials!$E$2:$E$149,A35,Trials!$H$2:$H$149)</f>
        <v>32</v>
      </c>
      <c r="E35" s="6">
        <f>SUMIF(Trials!$E$2:$E$149,A35,Trials!$J$2:$J$149)</f>
        <v>16</v>
      </c>
      <c r="F35" s="6">
        <f t="shared" si="3"/>
        <v>48</v>
      </c>
      <c r="G35" s="9">
        <f>IF(COUNTIFS(Trials!$E$2:$E$149,A35,Trials!$H$2:$H$149,"&gt;=0")=0,"",D35/COUNTIFS(Trials!$E$2:$E$149,A35,Trials!$H$2:$H$149,"&gt;=0"))</f>
        <v>16</v>
      </c>
    </row>
    <row r="36" ht="15.0" customHeight="1">
      <c r="A36" s="6" t="s">
        <v>43</v>
      </c>
      <c r="B36" s="6">
        <f>COUNTIF(Trials!$E$2:$E$149,A36)</f>
        <v>8</v>
      </c>
      <c r="C36" s="6">
        <f>COUNTIFS(Trials!$E$2:$E$149,A36,Trials!$M$2:$M$149,"Yes")</f>
        <v>8</v>
      </c>
      <c r="D36" s="6">
        <f>SUMIF(Trials!$E$2:$E$149,A36,Trials!$H$2:$H$149)</f>
        <v>281</v>
      </c>
      <c r="E36" s="6">
        <f>SUMIF(Trials!$E$2:$E$149,A36,Trials!$J$2:$J$149)</f>
        <v>44</v>
      </c>
      <c r="F36" s="6">
        <f t="shared" si="3"/>
        <v>325</v>
      </c>
      <c r="G36" s="9">
        <f>IF(COUNTIFS(Trials!$E$2:$E$149,A36,Trials!$H$2:$H$149,"&gt;=0")=0,"",D36/COUNTIFS(Trials!$E$2:$E$149,A36,Trials!$H$2:$H$149,"&gt;=0"))</f>
        <v>35.125</v>
      </c>
    </row>
    <row r="37" ht="15.0" customHeight="1">
      <c r="A37" s="6" t="s">
        <v>37</v>
      </c>
      <c r="B37" s="6">
        <f>COUNTIF(Trials!$E$2:$E$149,A37)</f>
        <v>14</v>
      </c>
      <c r="C37" s="6">
        <f>COUNTIFS(Trials!$E$2:$E$149,A37,Trials!$M$2:$M$149,"Yes")</f>
        <v>10</v>
      </c>
      <c r="D37" s="6">
        <f>SUMIF(Trials!$E$2:$E$149,A37,Trials!$H$2:$H$149)</f>
        <v>372</v>
      </c>
      <c r="E37" s="6">
        <f>SUMIF(Trials!$E$2:$E$149,A37,Trials!$J$2:$J$149)</f>
        <v>59</v>
      </c>
      <c r="F37" s="6">
        <f t="shared" si="3"/>
        <v>431</v>
      </c>
      <c r="G37" s="9">
        <f>IF(COUNTIFS(Trials!$E$2:$E$149,A37,Trials!$H$2:$H$149,"&gt;=0")=0,"",D37/COUNTIFS(Trials!$E$2:$E$149,A37,Trials!$H$2:$H$149,"&gt;=0"))</f>
        <v>37.2</v>
      </c>
    </row>
    <row r="38" ht="15.0" customHeight="1">
      <c r="A38" s="6" t="s">
        <v>124</v>
      </c>
      <c r="B38" s="6">
        <f>COUNTIF(Trials!$E$2:$E$149,A38)</f>
        <v>3</v>
      </c>
      <c r="C38" s="6">
        <f>COUNTIFS(Trials!$E$2:$E$149,A38,Trials!$M$2:$M$149,"Yes")</f>
        <v>3</v>
      </c>
      <c r="D38" s="6">
        <f>SUMIF(Trials!$E$2:$E$149,A38,Trials!$H$2:$H$149)</f>
        <v>66</v>
      </c>
      <c r="E38" s="6">
        <f>SUMIF(Trials!$E$2:$E$149,A38,Trials!$J$2:$J$149)</f>
        <v>15</v>
      </c>
      <c r="F38" s="6">
        <f t="shared" si="3"/>
        <v>81</v>
      </c>
      <c r="G38" s="9">
        <f>IF(COUNTIFS(Trials!$E$2:$E$149,A38,Trials!$H$2:$H$149,"&gt;=0")=0,"",D38/COUNTIFS(Trials!$E$2:$E$149,A38,Trials!$H$2:$H$149,"&gt;=0"))</f>
        <v>22</v>
      </c>
    </row>
    <row r="39" ht="15.0" customHeight="1">
      <c r="A39" s="6" t="s">
        <v>139</v>
      </c>
      <c r="B39" s="6">
        <f>COUNTIF(Trials!$E$2:$E$149,A39)</f>
        <v>2</v>
      </c>
      <c r="C39" s="6">
        <f>COUNTIFS(Trials!$E$2:$E$149,A39,Trials!$M$2:$M$149,"Yes")</f>
        <v>2</v>
      </c>
      <c r="D39" s="6">
        <f>SUMIF(Trials!$E$2:$E$149,A39,Trials!$H$2:$H$149)</f>
        <v>93</v>
      </c>
      <c r="E39" s="6">
        <f>SUMIF(Trials!$E$2:$E$149,A39,Trials!$J$2:$J$149)</f>
        <v>16</v>
      </c>
      <c r="F39" s="6">
        <f t="shared" si="3"/>
        <v>109</v>
      </c>
      <c r="G39" s="9">
        <f>IF(COUNTIFS(Trials!$E$2:$E$149,A39,Trials!$H$2:$H$149,"&gt;=0")=0,"",D39/COUNTIFS(Trials!$E$2:$E$149,A39,Trials!$H$2:$H$149,"&gt;=0"))</f>
        <v>46.5</v>
      </c>
    </row>
    <row r="40" ht="15.0" customHeight="1">
      <c r="A40" s="6" t="s">
        <v>28</v>
      </c>
      <c r="B40" s="6">
        <f>COUNTIF(Trials!$E$2:$E$149,A40)</f>
        <v>10</v>
      </c>
      <c r="C40" s="6">
        <f>COUNTIFS(Trials!$E$2:$E$149,A40,Trials!$M$2:$M$149,"Yes")</f>
        <v>10</v>
      </c>
      <c r="D40" s="6">
        <f>SUMIF(Trials!$E$2:$E$149,A40,Trials!$H$2:$H$149)</f>
        <v>420</v>
      </c>
      <c r="E40" s="6">
        <f>SUMIF(Trials!$E$2:$E$149,A40,Trials!$J$2:$J$149)</f>
        <v>42</v>
      </c>
      <c r="F40" s="6">
        <f t="shared" si="3"/>
        <v>462</v>
      </c>
      <c r="G40" s="9">
        <f>IF(COUNTIFS(Trials!$E$2:$E$149,A40,Trials!$H$2:$H$149,"&gt;=0")=0,"",D40/COUNTIFS(Trials!$E$2:$E$149,A40,Trials!$H$2:$H$149,"&gt;=0"))</f>
        <v>42</v>
      </c>
    </row>
    <row r="41" ht="15.0" customHeight="1">
      <c r="A41" s="6" t="s">
        <v>159</v>
      </c>
      <c r="B41" s="6">
        <f>COUNTIF(Trials!$E$2:$E$149,A41)</f>
        <v>2</v>
      </c>
      <c r="C41" s="6">
        <f>COUNTIFS(Trials!$E$2:$E$149,A41,Trials!$M$2:$M$149,"Yes")</f>
        <v>0</v>
      </c>
      <c r="D41" s="6">
        <f>SUMIF(Trials!$E$2:$E$149,A41,Trials!$H$2:$H$149)</f>
        <v>0</v>
      </c>
      <c r="E41" s="6">
        <f>SUMIF(Trials!$E$2:$E$149,A41,Trials!$J$2:$J$149)</f>
        <v>0</v>
      </c>
      <c r="F41" s="6">
        <f t="shared" si="3"/>
        <v>0</v>
      </c>
      <c r="G41" s="9" t="str">
        <f>IF(COUNTIFS(Trials!$E$2:$E$149,A41,Trials!$H$2:$H$149,"&gt;=0")=0,"",D41/COUNTIFS(Trials!$E$2:$E$149,A41,Trials!$H$2:$H$149,"&gt;=0"))</f>
        <v/>
      </c>
    </row>
    <row r="42" ht="15.0" customHeight="1">
      <c r="A42" s="6" t="s">
        <v>94</v>
      </c>
      <c r="B42" s="6">
        <f>COUNTIF(Trials!$E$2:$E$149,A42)</f>
        <v>3</v>
      </c>
      <c r="C42" s="6">
        <f>COUNTIFS(Trials!$E$2:$E$149,A42,Trials!$M$2:$M$149,"Yes")</f>
        <v>3</v>
      </c>
      <c r="D42" s="6">
        <f>SUMIF(Trials!$E$2:$E$149,A42,Trials!$H$2:$H$149)</f>
        <v>120</v>
      </c>
      <c r="E42" s="6">
        <f>SUMIF(Trials!$E$2:$E$149,A42,Trials!$J$2:$J$149)</f>
        <v>1</v>
      </c>
      <c r="F42" s="6">
        <f t="shared" si="3"/>
        <v>121</v>
      </c>
      <c r="G42" s="9">
        <f>IF(COUNTIFS(Trials!$E$2:$E$149,A42,Trials!$H$2:$H$149,"&gt;=0")=0,"",D42/COUNTIFS(Trials!$E$2:$E$149,A42,Trials!$H$2:$H$149,"&gt;=0"))</f>
        <v>40</v>
      </c>
    </row>
    <row r="43" ht="15.0" customHeight="1">
      <c r="A43" s="6" t="s">
        <v>162</v>
      </c>
      <c r="B43" s="6">
        <f>COUNTIF(Trials!$E$2:$E$149,A43)</f>
        <v>1</v>
      </c>
      <c r="C43" s="6">
        <f>COUNTIFS(Trials!$E$2:$E$149,A43,Trials!$M$2:$M$149,"Yes")</f>
        <v>0</v>
      </c>
      <c r="D43" s="6">
        <f>SUMIF(Trials!$E$2:$E$149,A43,Trials!$H$2:$H$149)</f>
        <v>0</v>
      </c>
      <c r="E43" s="6">
        <f>SUMIF(Trials!$E$2:$E$149,A43,Trials!$J$2:$J$149)</f>
        <v>0</v>
      </c>
      <c r="F43" s="6">
        <f t="shared" si="3"/>
        <v>0</v>
      </c>
      <c r="G43" s="9" t="str">
        <f>IF(COUNTIFS(Trials!$E$2:$E$149,A43,Trials!$H$2:$H$149,"&gt;=0")=0,"",D43/COUNTIFS(Trials!$E$2:$E$149,A43,Trials!$H$2:$H$149,"&gt;=0"))</f>
        <v/>
      </c>
    </row>
    <row r="44" ht="15.0" customHeight="1">
      <c r="A44" s="6" t="s">
        <v>156</v>
      </c>
      <c r="B44" s="6">
        <f>COUNTIF(Trials!$E$2:$E$149,A44)</f>
        <v>8</v>
      </c>
      <c r="C44" s="6">
        <f>COUNTIFS(Trials!$E$2:$E$149,A44,Trials!$M$2:$M$149,"Yes")</f>
        <v>8</v>
      </c>
      <c r="D44" s="6">
        <f>SUMIF(Trials!$E$2:$E$149,A44,Trials!$H$2:$H$149)</f>
        <v>331</v>
      </c>
      <c r="E44" s="6">
        <f>SUMIF(Trials!$E$2:$E$149,A44,Trials!$J$2:$J$149)</f>
        <v>39</v>
      </c>
      <c r="F44" s="6">
        <f t="shared" si="3"/>
        <v>370</v>
      </c>
      <c r="G44" s="9">
        <f>IF(COUNTIFS(Trials!$E$2:$E$149,A44,Trials!$H$2:$H$149,"&gt;=0")=0,"",D44/COUNTIFS(Trials!$E$2:$E$149,A44,Trials!$H$2:$H$149,"&gt;=0"))</f>
        <v>47.28571429</v>
      </c>
    </row>
    <row r="45" ht="15.0" customHeight="1">
      <c r="A45" s="6" t="s">
        <v>110</v>
      </c>
      <c r="B45" s="6">
        <f>COUNTIF(Trials!$E$2:$E$149,A45)</f>
        <v>4</v>
      </c>
      <c r="C45" s="6">
        <f>COUNTIFS(Trials!$E$2:$E$149,A45,Trials!$M$2:$M$149,"Yes")</f>
        <v>4</v>
      </c>
      <c r="D45" s="6">
        <f>SUMIF(Trials!$E$2:$E$149,A45,Trials!$H$2:$H$149)</f>
        <v>112</v>
      </c>
      <c r="E45" s="6">
        <f>SUMIF(Trials!$E$2:$E$149,A45,Trials!$J$2:$J$149)</f>
        <v>28</v>
      </c>
      <c r="F45" s="6">
        <f t="shared" si="3"/>
        <v>140</v>
      </c>
      <c r="G45" s="9">
        <f>IF(COUNTIFS(Trials!$E$2:$E$149,A45,Trials!$H$2:$H$149,"&gt;=0")=0,"",D45/COUNTIFS(Trials!$E$2:$E$149,A45,Trials!$H$2:$H$149,"&gt;=0"))</f>
        <v>28</v>
      </c>
    </row>
    <row r="46" ht="15.0" customHeight="1">
      <c r="A46" s="6" t="s">
        <v>143</v>
      </c>
      <c r="B46" s="6">
        <f>COUNTIF(Trials!$E$2:$E$149,A46)</f>
        <v>2</v>
      </c>
      <c r="C46" s="6">
        <f>COUNTIFS(Trials!$E$2:$E$149,A46,Trials!$M$2:$M$149,"Yes")</f>
        <v>2</v>
      </c>
      <c r="D46" s="6">
        <f>SUMIF(Trials!$E$2:$E$149,A46,Trials!$H$2:$H$149)</f>
        <v>19</v>
      </c>
      <c r="E46" s="6">
        <f>SUMIF(Trials!$E$2:$E$149,A46,Trials!$J$2:$J$149)</f>
        <v>9</v>
      </c>
      <c r="F46" s="6">
        <f t="shared" si="3"/>
        <v>28</v>
      </c>
      <c r="G46" s="9">
        <f>IF(COUNTIFS(Trials!$E$2:$E$149,A46,Trials!$H$2:$H$149,"&gt;=0")=0,"",D46/COUNTIFS(Trials!$E$2:$E$149,A46,Trials!$H$2:$H$149,"&gt;=0"))</f>
        <v>9.5</v>
      </c>
    </row>
    <row r="47" ht="15.0" customHeight="1">
      <c r="A47" s="6" t="s">
        <v>130</v>
      </c>
      <c r="B47" s="6">
        <f>COUNTIF(Trials!$E$2:$E$149,A47)</f>
        <v>2</v>
      </c>
      <c r="C47" s="6">
        <f>COUNTIFS(Trials!$E$2:$E$149,A47,Trials!$M$2:$M$149,"Yes")</f>
        <v>2</v>
      </c>
      <c r="D47" s="6">
        <f>SUMIF(Trials!$E$2:$E$149,A47,Trials!$H$2:$H$149)</f>
        <v>35</v>
      </c>
      <c r="E47" s="6">
        <f>SUMIF(Trials!$E$2:$E$149,A47,Trials!$J$2:$J$149)</f>
        <v>14</v>
      </c>
      <c r="F47" s="6">
        <f t="shared" si="3"/>
        <v>49</v>
      </c>
      <c r="G47" s="9">
        <f>IF(COUNTIFS(Trials!$E$2:$E$149,A47,Trials!$H$2:$H$149,"&gt;=0")=0,"",D47/COUNTIFS(Trials!$E$2:$E$149,A47,Trials!$H$2:$H$149,"&gt;=0"))</f>
        <v>35</v>
      </c>
    </row>
    <row r="48" ht="15.0" customHeight="1">
      <c r="A48" s="6" t="s">
        <v>92</v>
      </c>
      <c r="B48" s="6">
        <f>COUNTIF(Trials!$E$2:$E$149,A48)</f>
        <v>10</v>
      </c>
      <c r="C48" s="6">
        <f>COUNTIFS(Trials!$E$2:$E$149,A48,Trials!$M$2:$M$149,"Yes")</f>
        <v>8</v>
      </c>
      <c r="D48" s="6">
        <f>SUMIF(Trials!$E$2:$E$149,A48,Trials!$H$2:$H$149)</f>
        <v>183</v>
      </c>
      <c r="E48" s="6">
        <f>SUMIF(Trials!$E$2:$E$149,A48,Trials!$J$2:$J$149)</f>
        <v>36</v>
      </c>
      <c r="F48" s="6">
        <f t="shared" si="3"/>
        <v>219</v>
      </c>
      <c r="G48" s="9">
        <f>IF(COUNTIFS(Trials!$E$2:$E$149,A48,Trials!$H$2:$H$149,"&gt;=0")=0,"",D48/COUNTIFS(Trials!$E$2:$E$149,A48,Trials!$H$2:$H$149,"&gt;=0"))</f>
        <v>22.875</v>
      </c>
    </row>
    <row r="49" ht="15.0" customHeight="1">
      <c r="A49" s="6" t="s">
        <v>79</v>
      </c>
      <c r="B49" s="6">
        <f>COUNTIF(Trials!$E$2:$E$149,A49)</f>
        <v>2</v>
      </c>
      <c r="C49" s="6">
        <f>COUNTIFS(Trials!$E$2:$E$149,A49,Trials!$M$2:$M$149,"Yes")</f>
        <v>2</v>
      </c>
      <c r="D49" s="6">
        <f>SUMIF(Trials!$E$2:$E$149,A49,Trials!$H$2:$H$149)</f>
        <v>24</v>
      </c>
      <c r="E49" s="6">
        <f>SUMIF(Trials!$E$2:$E$149,A49,Trials!$J$2:$J$149)</f>
        <v>8</v>
      </c>
      <c r="F49" s="6">
        <f t="shared" si="3"/>
        <v>32</v>
      </c>
      <c r="G49" s="9">
        <f>IF(COUNTIFS(Trials!$E$2:$E$149,A49,Trials!$H$2:$H$149,"&gt;=0")=0,"",D49/COUNTIFS(Trials!$E$2:$E$149,A49,Trials!$H$2:$H$149,"&gt;=0"))</f>
        <v>12</v>
      </c>
    </row>
    <row r="50" ht="15.0" customHeight="1">
      <c r="A50" s="6" t="s">
        <v>168</v>
      </c>
      <c r="B50" s="6">
        <f>COUNTIF(Trials!$E$2:$E$149,A50)</f>
        <v>3</v>
      </c>
      <c r="C50" s="6">
        <f>COUNTIFS(Trials!$E$2:$E$149,A50,Trials!$M$2:$M$149,"Yes")</f>
        <v>3</v>
      </c>
      <c r="D50" s="6">
        <f>SUMIF(Trials!$E$2:$E$149,A50,Trials!$H$2:$H$149)</f>
        <v>46</v>
      </c>
      <c r="E50" s="6">
        <f>SUMIF(Trials!$E$2:$E$149,A50,Trials!$J$2:$J$149)</f>
        <v>4</v>
      </c>
      <c r="F50" s="6">
        <f t="shared" si="3"/>
        <v>50</v>
      </c>
      <c r="G50" s="9">
        <f>IF(COUNTIFS(Trials!$E$2:$E$149,A50,Trials!$H$2:$H$149,"&gt;=0")=0,"",D50/COUNTIFS(Trials!$E$2:$E$149,A50,Trials!$H$2:$H$149,"&gt;=0"))</f>
        <v>15.33333333</v>
      </c>
    </row>
    <row r="51" ht="15.0" customHeight="1">
      <c r="A51" s="6" t="s">
        <v>88</v>
      </c>
      <c r="B51" s="6">
        <f>COUNTIF(Trials!$E$2:$E$149,A51)</f>
        <v>6</v>
      </c>
      <c r="C51" s="6">
        <f>COUNTIFS(Trials!$E$2:$E$149,A51,Trials!$M$2:$M$149,"Yes")</f>
        <v>4</v>
      </c>
      <c r="D51" s="6">
        <f>SUMIF(Trials!$E$2:$E$149,A51,Trials!$H$2:$H$149)</f>
        <v>229</v>
      </c>
      <c r="E51" s="6">
        <f>SUMIF(Trials!$E$2:$E$149,A51,Trials!$J$2:$J$149)</f>
        <v>45</v>
      </c>
      <c r="F51" s="6">
        <f t="shared" si="3"/>
        <v>274</v>
      </c>
      <c r="G51" s="9">
        <f>IF(COUNTIFS(Trials!$E$2:$E$149,A51,Trials!$H$2:$H$149,"&gt;=0")=0,"",D51/COUNTIFS(Trials!$E$2:$E$149,A51,Trials!$H$2:$H$149,"&gt;=0"))</f>
        <v>57.25</v>
      </c>
    </row>
    <row r="52" ht="15.0" customHeight="1">
      <c r="A52" s="6" t="s">
        <v>127</v>
      </c>
      <c r="B52" s="6">
        <f>COUNTIF(Trials!$E$2:$E$149,A52)</f>
        <v>4</v>
      </c>
      <c r="C52" s="6">
        <f>COUNTIFS(Trials!$E$2:$E$149,A52,Trials!$M$2:$M$149,"Yes")</f>
        <v>2</v>
      </c>
      <c r="D52" s="6">
        <f>SUMIF(Trials!$E$2:$E$149,A52,Trials!$H$2:$H$149)</f>
        <v>27</v>
      </c>
      <c r="E52" s="6">
        <f>SUMIF(Trials!$E$2:$E$149,A52,Trials!$J$2:$J$149)</f>
        <v>0</v>
      </c>
      <c r="F52" s="6">
        <f t="shared" si="3"/>
        <v>27</v>
      </c>
      <c r="G52" s="9">
        <f>IF(COUNTIFS(Trials!$E$2:$E$149,A52,Trials!$H$2:$H$149,"&gt;=0")=0,"",D52/COUNTIFS(Trials!$E$2:$E$149,A52,Trials!$H$2:$H$149,"&gt;=0"))</f>
        <v>13.5</v>
      </c>
    </row>
    <row r="53" ht="15.0" customHeight="1">
      <c r="A53" s="6" t="s">
        <v>133</v>
      </c>
      <c r="B53" s="6">
        <f>COUNTIF(Trials!$E$2:$E$149,A53)</f>
        <v>4</v>
      </c>
      <c r="C53" s="6">
        <f>COUNTIFS(Trials!$E$2:$E$149,A53,Trials!$M$2:$M$149,"Yes")</f>
        <v>2</v>
      </c>
      <c r="D53" s="6">
        <f>SUMIF(Trials!$E$2:$E$149,A53,Trials!$H$2:$H$149)</f>
        <v>32</v>
      </c>
      <c r="E53" s="6">
        <f>SUMIF(Trials!$E$2:$E$149,A53,Trials!$J$2:$J$149)</f>
        <v>15</v>
      </c>
      <c r="F53" s="6">
        <f t="shared" si="3"/>
        <v>47</v>
      </c>
      <c r="G53" s="9">
        <f>IF(COUNTIFS(Trials!$E$2:$E$149,A53,Trials!$H$2:$H$149,"&gt;=0")=0,"",D53/COUNTIFS(Trials!$E$2:$E$149,A53,Trials!$H$2:$H$149,"&gt;=0"))</f>
        <v>16</v>
      </c>
    </row>
    <row r="54" ht="15.0" customHeight="1">
      <c r="A54" s="6" t="s">
        <v>119</v>
      </c>
      <c r="B54" s="6">
        <f>COUNTIF(Trials!$E$2:$E$149,A54)</f>
        <v>10</v>
      </c>
      <c r="C54" s="6">
        <f>COUNTIFS(Trials!$E$2:$E$149,A54,Trials!$M$2:$M$149,"Yes")</f>
        <v>6</v>
      </c>
      <c r="D54" s="6">
        <f>SUMIF(Trials!$E$2:$E$149,A54,Trials!$H$2:$H$149)</f>
        <v>150</v>
      </c>
      <c r="E54" s="6">
        <f>SUMIF(Trials!$E$2:$E$149,A54,Trials!$J$2:$J$149)</f>
        <v>28</v>
      </c>
      <c r="F54" s="6">
        <f t="shared" si="3"/>
        <v>178</v>
      </c>
      <c r="G54" s="9">
        <f>IF(COUNTIFS(Trials!$E$2:$E$149,A54,Trials!$H$2:$H$149,"&gt;=0")=0,"",D54/COUNTIFS(Trials!$E$2:$E$149,A54,Trials!$H$2:$H$149,"&gt;=0"))</f>
        <v>25</v>
      </c>
    </row>
    <row r="55" ht="15.0" customHeight="1">
      <c r="A55" s="6" t="s">
        <v>177</v>
      </c>
      <c r="B55" s="6">
        <f>COUNTIF(Trials!$E$2:$E$149,A55)</f>
        <v>4</v>
      </c>
      <c r="C55" s="6">
        <f>COUNTIFS(Trials!$E$2:$E$149,A55,Trials!$M$2:$M$149,"Yes")</f>
        <v>2</v>
      </c>
      <c r="D55" s="6">
        <f>SUMIF(Trials!$E$2:$E$149,A55,Trials!$H$2:$H$149)</f>
        <v>107</v>
      </c>
      <c r="E55" s="6">
        <f>SUMIF(Trials!$E$2:$E$149,A55,Trials!$J$2:$J$149)</f>
        <v>6</v>
      </c>
      <c r="F55" s="6">
        <f t="shared" si="3"/>
        <v>113</v>
      </c>
      <c r="G55" s="9">
        <f>IF(COUNTIFS(Trials!$E$2:$E$149,A55,Trials!$H$2:$H$149,"&gt;=0")=0,"",D55/COUNTIFS(Trials!$E$2:$E$149,A55,Trials!$H$2:$H$149,"&gt;=0"))</f>
        <v>53.5</v>
      </c>
    </row>
    <row r="56" ht="15.0" customHeight="1">
      <c r="A56" s="6" t="s">
        <v>47</v>
      </c>
      <c r="B56" s="6">
        <f>COUNTIF(Trials!$E$2:$E$149,A56)</f>
        <v>10</v>
      </c>
      <c r="C56" s="6">
        <f>COUNTIFS(Trials!$E$2:$E$149,A56,Trials!$M$2:$M$149,"Yes")</f>
        <v>10</v>
      </c>
      <c r="D56" s="6">
        <f>SUMIF(Trials!$E$2:$E$149,A56,Trials!$H$2:$H$149)</f>
        <v>433</v>
      </c>
      <c r="E56" s="6">
        <f>SUMIF(Trials!$E$2:$E$149,A56,Trials!$J$2:$J$149)</f>
        <v>51</v>
      </c>
      <c r="F56" s="6">
        <f t="shared" si="3"/>
        <v>484</v>
      </c>
      <c r="G56" s="9">
        <f>IF(COUNTIFS(Trials!$E$2:$E$149,A56,Trials!$H$2:$H$149,"&gt;=0")=0,"",D56/COUNTIFS(Trials!$E$2:$E$149,A56,Trials!$H$2:$H$149,"&gt;=0"))</f>
        <v>43.3</v>
      </c>
    </row>
    <row r="57" ht="15.0" customHeight="1">
      <c r="A57" s="6" t="s">
        <v>107</v>
      </c>
      <c r="B57" s="6">
        <f>COUNTIF(Trials!$E$2:$E$149,A57)</f>
        <v>4</v>
      </c>
      <c r="C57" s="6">
        <f>COUNTIFS(Trials!$E$2:$E$149,A57,Trials!$M$2:$M$149,"Yes")</f>
        <v>4</v>
      </c>
      <c r="D57" s="6">
        <f>SUMIF(Trials!$E$2:$E$149,A57,Trials!$H$2:$H$149)</f>
        <v>54</v>
      </c>
      <c r="E57" s="6">
        <f>SUMIF(Trials!$E$2:$E$149,A57,Trials!$J$2:$J$149)</f>
        <v>5</v>
      </c>
      <c r="F57" s="6">
        <f t="shared" si="3"/>
        <v>59</v>
      </c>
      <c r="G57" s="9">
        <f>IF(COUNTIFS(Trials!$E$2:$E$149,A57,Trials!$H$2:$H$149,"&gt;=0")=0,"",D57/COUNTIFS(Trials!$E$2:$E$149,A57,Trials!$H$2:$H$149,"&gt;=0"))</f>
        <v>13.5</v>
      </c>
    </row>
    <row r="58" ht="15.0" customHeight="1">
      <c r="A58" s="6" t="s">
        <v>136</v>
      </c>
      <c r="B58" s="6">
        <f>COUNTIF(Trials!$E$2:$E$149,A58)</f>
        <v>4</v>
      </c>
      <c r="C58" s="6">
        <f>COUNTIFS(Trials!$E$2:$E$149,A58,Trials!$M$2:$M$149,"Yes")</f>
        <v>4</v>
      </c>
      <c r="D58" s="6">
        <f>SUMIF(Trials!$E$2:$E$149,A58,Trials!$H$2:$H$149)</f>
        <v>134</v>
      </c>
      <c r="E58" s="6">
        <f>SUMIF(Trials!$E$2:$E$149,A58,Trials!$J$2:$J$149)</f>
        <v>21</v>
      </c>
      <c r="F58" s="6">
        <f t="shared" si="3"/>
        <v>155</v>
      </c>
      <c r="G58" s="9">
        <f>IF(COUNTIFS(Trials!$E$2:$E$149,A58,Trials!$H$2:$H$149,"&gt;=0")=0,"",D58/COUNTIFS(Trials!$E$2:$E$149,A58,Trials!$H$2:$H$149,"&gt;=0"))</f>
        <v>33.5</v>
      </c>
    </row>
    <row r="59" ht="15.0" customHeight="1">
      <c r="A59" s="6" t="s">
        <v>71</v>
      </c>
      <c r="B59" s="6">
        <f>COUNTIF(Trials!$E$2:$E$149,A59)</f>
        <v>17</v>
      </c>
      <c r="C59" s="6">
        <f>COUNTIFS(Trials!$E$2:$E$149,A59,Trials!$M$2:$M$149,"Yes")</f>
        <v>15</v>
      </c>
      <c r="D59" s="6">
        <f>SUMIF(Trials!$E$2:$E$149,A59,Trials!$H$2:$H$149)</f>
        <v>572</v>
      </c>
      <c r="E59" s="6">
        <f>SUMIF(Trials!$E$2:$E$149,A59,Trials!$J$2:$J$149)</f>
        <v>94</v>
      </c>
      <c r="F59" s="6">
        <f t="shared" si="3"/>
        <v>666</v>
      </c>
      <c r="G59" s="9">
        <f>IF(COUNTIFS(Trials!$E$2:$E$149,A59,Trials!$H$2:$H$149,"&gt;=0")=0,"",D59/COUNTIFS(Trials!$E$2:$E$149,A59,Trials!$H$2:$H$149,"&gt;=0"))</f>
        <v>38.13333333</v>
      </c>
    </row>
    <row r="60" ht="15.0" customHeight="1">
      <c r="A60" s="6" t="s">
        <v>164</v>
      </c>
      <c r="B60" s="6">
        <f>COUNTIF(Trials!$E$2:$E$149,A60)</f>
        <v>2</v>
      </c>
      <c r="C60" s="6">
        <f>COUNTIFS(Trials!$E$2:$E$149,A60,Trials!$M$2:$M$149,"Yes")</f>
        <v>2</v>
      </c>
      <c r="D60" s="6">
        <f>SUMIF(Trials!$E$2:$E$149,A60,Trials!$H$2:$H$149)</f>
        <v>25</v>
      </c>
      <c r="E60" s="6">
        <f>SUMIF(Trials!$E$2:$E$149,A60,Trials!$J$2:$J$149)</f>
        <v>20</v>
      </c>
      <c r="F60" s="6">
        <f t="shared" si="3"/>
        <v>45</v>
      </c>
      <c r="G60" s="9">
        <f>IF(COUNTIFS(Trials!$E$2:$E$149,A60,Trials!$H$2:$H$149,"&gt;=0")=0,"",D60/COUNTIFS(Trials!$E$2:$E$149,A60,Trials!$H$2:$H$149,"&gt;=0"))</f>
        <v>12.5</v>
      </c>
    </row>
    <row r="61" ht="15.0" customHeight="1">
      <c r="A61" s="7" t="s">
        <v>137</v>
      </c>
      <c r="B61" s="7">
        <f t="shared" ref="B61:F61" si="4">SUM(B34:B60)</f>
        <v>148</v>
      </c>
      <c r="C61" s="7">
        <f t="shared" si="4"/>
        <v>123</v>
      </c>
      <c r="D61" s="7">
        <f t="shared" si="4"/>
        <v>3938</v>
      </c>
      <c r="E61" s="7">
        <f t="shared" si="4"/>
        <v>622</v>
      </c>
      <c r="F61" s="7">
        <f t="shared" si="4"/>
        <v>4560</v>
      </c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14.0"/>
    <col customWidth="1" min="3" max="3" width="50.0"/>
    <col customWidth="1" min="4" max="4" width="20.0"/>
    <col customWidth="1" min="5" max="5" width="7.0"/>
    <col customWidth="1" min="6" max="6" width="11.0"/>
    <col customWidth="1" min="7" max="7" width="12.0"/>
    <col customWidth="1" min="8" max="8" width="11.0"/>
    <col customWidth="1" min="9" max="26" width="8.71"/>
  </cols>
  <sheetData>
    <row r="1">
      <c r="A1" s="1" t="s">
        <v>1</v>
      </c>
    </row>
    <row r="2">
      <c r="A2" s="3" t="s">
        <v>24</v>
      </c>
    </row>
    <row r="4">
      <c r="A4" s="2" t="s">
        <v>9</v>
      </c>
      <c r="B4" s="2" t="s">
        <v>3</v>
      </c>
      <c r="C4" s="2" t="s">
        <v>6</v>
      </c>
      <c r="D4" s="2" t="s">
        <v>7</v>
      </c>
      <c r="E4" s="2" t="s">
        <v>8</v>
      </c>
      <c r="F4" s="2" t="s">
        <v>12</v>
      </c>
      <c r="G4" s="2" t="s">
        <v>14</v>
      </c>
      <c r="H4" s="2" t="s">
        <v>20</v>
      </c>
    </row>
    <row r="5">
      <c r="A5" s="6">
        <f t="shared" ref="A5:A125" si="1">RANK(F5,$F$5:$F$125)</f>
        <v>1</v>
      </c>
      <c r="B5" s="5">
        <f>Trials!A48</f>
        <v>46124</v>
      </c>
      <c r="C5" s="6" t="str">
        <f>Trials!C48</f>
        <v>American Whippet Club, Inc.</v>
      </c>
      <c r="D5" s="6" t="str">
        <f>Trials!D48</f>
        <v>Pasco</v>
      </c>
      <c r="E5" s="6" t="str">
        <f>Trials!E48</f>
        <v>WA</v>
      </c>
      <c r="F5" s="6">
        <f>Trials!H48</f>
        <v>77</v>
      </c>
      <c r="G5" s="6">
        <f>Trials!I48</f>
        <v>74</v>
      </c>
      <c r="H5" s="6" t="str">
        <f>IF(Trials!J48="","",Trials!J48)</f>
        <v/>
      </c>
    </row>
    <row r="6">
      <c r="A6" s="6">
        <f t="shared" si="1"/>
        <v>1</v>
      </c>
      <c r="B6" s="5">
        <f>Trials!A109</f>
        <v>46201</v>
      </c>
      <c r="C6" s="6" t="str">
        <f>Trials!C109</f>
        <v>Michigan Gazehound Association</v>
      </c>
      <c r="D6" s="6" t="str">
        <f>Trials!D109</f>
        <v>Williamston</v>
      </c>
      <c r="E6" s="6" t="str">
        <f>Trials!E109</f>
        <v>MI</v>
      </c>
      <c r="F6" s="6">
        <f>Trials!H109</f>
        <v>77</v>
      </c>
      <c r="G6" s="6">
        <f>Trials!I109</f>
        <v>61</v>
      </c>
      <c r="H6" s="6">
        <f>IF(Trials!J109="","",Trials!J109)</f>
        <v>2</v>
      </c>
    </row>
    <row r="7">
      <c r="A7" s="6">
        <f t="shared" si="1"/>
        <v>3</v>
      </c>
      <c r="B7" s="5">
        <f>Trials!A73</f>
        <v>46158</v>
      </c>
      <c r="C7" s="6" t="str">
        <f>Trials!C73</f>
        <v>Trinity Valley Rhodesian Ridgeback Club of Texas</v>
      </c>
      <c r="D7" s="6" t="str">
        <f>Trials!D73</f>
        <v>McKinney</v>
      </c>
      <c r="E7" s="6" t="str">
        <f>Trials!E73</f>
        <v>TX</v>
      </c>
      <c r="F7" s="6">
        <f>Trials!H73</f>
        <v>73</v>
      </c>
      <c r="G7" s="6">
        <f>Trials!I73</f>
        <v>73</v>
      </c>
      <c r="H7" s="6">
        <f>IF(Trials!J73="","",Trials!J73)</f>
        <v>4</v>
      </c>
    </row>
    <row r="8">
      <c r="A8" s="6">
        <f t="shared" si="1"/>
        <v>4</v>
      </c>
      <c r="B8" s="5">
        <f>Trials!A106</f>
        <v>46200</v>
      </c>
      <c r="C8" s="6" t="str">
        <f>Trials!C106</f>
        <v>Michigan Gazehound Association</v>
      </c>
      <c r="D8" s="6" t="str">
        <f>Trials!D106</f>
        <v>Williamston</v>
      </c>
      <c r="E8" s="6" t="str">
        <f>Trials!E106</f>
        <v>MI</v>
      </c>
      <c r="F8" s="6">
        <f>Trials!H106</f>
        <v>72</v>
      </c>
      <c r="G8" s="6">
        <f>Trials!I106</f>
        <v>69</v>
      </c>
      <c r="H8" s="6">
        <f>IF(Trials!J106="","",Trials!J106)</f>
        <v>6</v>
      </c>
    </row>
    <row r="9">
      <c r="A9" s="6">
        <f t="shared" si="1"/>
        <v>5</v>
      </c>
      <c r="B9" s="5">
        <f>Trials!A37</f>
        <v>46110</v>
      </c>
      <c r="C9" s="6" t="str">
        <f>Trials!C37</f>
        <v>Midwest Borzoi Club</v>
      </c>
      <c r="D9" s="6" t="str">
        <f>Trials!D37</f>
        <v>Lima</v>
      </c>
      <c r="E9" s="6" t="str">
        <f>Trials!E37</f>
        <v>OH</v>
      </c>
      <c r="F9" s="6">
        <f>Trials!H37</f>
        <v>67</v>
      </c>
      <c r="G9" s="6">
        <f>Trials!I37</f>
        <v>64</v>
      </c>
      <c r="H9" s="6">
        <f>IF(Trials!J37="","",Trials!J37)</f>
        <v>14</v>
      </c>
    </row>
    <row r="10">
      <c r="A10" s="6">
        <f t="shared" si="1"/>
        <v>6</v>
      </c>
      <c r="B10" s="5">
        <f>Trials!A33</f>
        <v>46109</v>
      </c>
      <c r="C10" s="6" t="str">
        <f>Trials!C33</f>
        <v>Midwest Borzoi Club</v>
      </c>
      <c r="D10" s="6" t="str">
        <f>Trials!D33</f>
        <v>Lima</v>
      </c>
      <c r="E10" s="6" t="str">
        <f>Trials!E33</f>
        <v>OH</v>
      </c>
      <c r="F10" s="6">
        <f>Trials!H33</f>
        <v>64</v>
      </c>
      <c r="G10" s="6">
        <f>Trials!I33</f>
        <v>64</v>
      </c>
      <c r="H10" s="6">
        <f>IF(Trials!J33="","",Trials!J33)</f>
        <v>15</v>
      </c>
    </row>
    <row r="11">
      <c r="A11" s="6">
        <f t="shared" si="1"/>
        <v>7</v>
      </c>
      <c r="B11" s="5">
        <f>Trials!A80</f>
        <v>46159</v>
      </c>
      <c r="C11" s="6" t="str">
        <f>Trials!C80</f>
        <v>Trinity Valley Rhodesian Ridgeback Club of Texas</v>
      </c>
      <c r="D11" s="6" t="str">
        <f>Trials!D80</f>
        <v>McKinney</v>
      </c>
      <c r="E11" s="6" t="str">
        <f>Trials!E80</f>
        <v>TX</v>
      </c>
      <c r="F11" s="6">
        <f>Trials!H80</f>
        <v>63</v>
      </c>
      <c r="G11" s="6">
        <f>Trials!I80</f>
        <v>63</v>
      </c>
      <c r="H11" s="6">
        <f>IF(Trials!J80="","",Trials!J80)</f>
        <v>1</v>
      </c>
    </row>
    <row r="12">
      <c r="A12" s="6">
        <f t="shared" si="1"/>
        <v>8</v>
      </c>
      <c r="B12" s="5">
        <f>Trials!A95</f>
        <v>46180</v>
      </c>
      <c r="C12" s="6" t="str">
        <f>Trials!C95</f>
        <v>Michigan Gazehound Association</v>
      </c>
      <c r="D12" s="6" t="str">
        <f>Trials!D95</f>
        <v>Bellevue</v>
      </c>
      <c r="E12" s="6" t="str">
        <f>Trials!E95</f>
        <v>MI</v>
      </c>
      <c r="F12" s="6">
        <f>Trials!H95</f>
        <v>62</v>
      </c>
      <c r="G12" s="6">
        <f>Trials!I95</f>
        <v>56</v>
      </c>
      <c r="H12" s="6">
        <f>IF(Trials!J95="","",Trials!J95)</f>
        <v>4</v>
      </c>
    </row>
    <row r="13">
      <c r="A13" s="6">
        <f t="shared" si="1"/>
        <v>9</v>
      </c>
      <c r="B13" s="5">
        <f>Trials!A5</f>
        <v>46033</v>
      </c>
      <c r="C13" s="6" t="str">
        <f>Trials!C5</f>
        <v>Northern California Whippet Fanciers Association</v>
      </c>
      <c r="D13" s="6" t="str">
        <f>Trials!D5</f>
        <v>Elverta</v>
      </c>
      <c r="E13" s="6" t="str">
        <f>Trials!E5</f>
        <v>CA</v>
      </c>
      <c r="F13" s="6">
        <f>Trials!H5</f>
        <v>61</v>
      </c>
      <c r="G13" s="6">
        <f>Trials!I5</f>
        <v>61</v>
      </c>
      <c r="H13" s="6">
        <f>IF(Trials!J5="","",Trials!J5)</f>
        <v>8</v>
      </c>
    </row>
    <row r="14">
      <c r="A14" s="6">
        <f t="shared" si="1"/>
        <v>10</v>
      </c>
      <c r="B14" s="5">
        <f>Trials!A4</f>
        <v>46032</v>
      </c>
      <c r="C14" s="6" t="str">
        <f>Trials!C4</f>
        <v>Northern California Whippet Fanciers Association</v>
      </c>
      <c r="D14" s="6" t="str">
        <f>Trials!D4</f>
        <v>Elverta</v>
      </c>
      <c r="E14" s="6" t="str">
        <f>Trials!E4</f>
        <v>CA</v>
      </c>
      <c r="F14" s="6">
        <f>Trials!H4</f>
        <v>59</v>
      </c>
      <c r="G14" s="6">
        <f>Trials!I4</f>
        <v>59</v>
      </c>
      <c r="H14" s="6">
        <f>IF(Trials!J4="","",Trials!J4)</f>
        <v>14</v>
      </c>
    </row>
    <row r="15">
      <c r="A15" s="6">
        <f t="shared" si="1"/>
        <v>11</v>
      </c>
      <c r="B15" s="5">
        <f>Trials!A123</f>
        <v>46271</v>
      </c>
      <c r="C15" s="6" t="str">
        <f>Trials!C123</f>
        <v>Gazehound Association of the Smoky Mountains</v>
      </c>
      <c r="D15" s="6" t="str">
        <f>Trials!D123</f>
        <v>Limestone</v>
      </c>
      <c r="E15" s="6" t="str">
        <f>Trials!E123</f>
        <v>TN</v>
      </c>
      <c r="F15" s="6">
        <f>Trials!H123</f>
        <v>56</v>
      </c>
      <c r="G15" s="6">
        <f>Trials!I123</f>
        <v>56</v>
      </c>
      <c r="H15" s="6">
        <f>IF(Trials!J123="","",Trials!J123)</f>
        <v>3</v>
      </c>
    </row>
    <row r="16">
      <c r="A16" s="6">
        <f t="shared" si="1"/>
        <v>12</v>
      </c>
      <c r="B16" s="5">
        <f>Trials!A15</f>
        <v>46074</v>
      </c>
      <c r="C16" s="6" t="str">
        <f>Trials!C15</f>
        <v>Desert Fun Bunch Sighthound Club</v>
      </c>
      <c r="D16" s="6" t="str">
        <f>Trials!D15</f>
        <v>Tonopah</v>
      </c>
      <c r="E16" s="6" t="str">
        <f>Trials!E15</f>
        <v>AZ</v>
      </c>
      <c r="F16" s="6">
        <f>Trials!H15</f>
        <v>54</v>
      </c>
      <c r="G16" s="6">
        <f>Trials!I15</f>
        <v>54</v>
      </c>
      <c r="H16" s="6">
        <f>IF(Trials!J15="","",Trials!J15)</f>
        <v>8</v>
      </c>
    </row>
    <row r="17">
      <c r="A17" s="6">
        <f t="shared" si="1"/>
        <v>12</v>
      </c>
      <c r="B17" s="5">
        <f>Trials!A71</f>
        <v>46158</v>
      </c>
      <c r="C17" s="6" t="str">
        <f>Trials!C71</f>
        <v>Gazehounds of New England Lure Coursing Club</v>
      </c>
      <c r="D17" s="6" t="str">
        <f>Trials!D71</f>
        <v>Waterford</v>
      </c>
      <c r="E17" s="6" t="str">
        <f>Trials!E71</f>
        <v>CT</v>
      </c>
      <c r="F17" s="6">
        <f>Trials!H71</f>
        <v>54</v>
      </c>
      <c r="G17" s="6">
        <f>Trials!I71</f>
        <v>51</v>
      </c>
      <c r="H17" s="6">
        <f>IF(Trials!J71="","",Trials!J71)</f>
        <v>9</v>
      </c>
    </row>
    <row r="18">
      <c r="A18" s="6">
        <f t="shared" si="1"/>
        <v>14</v>
      </c>
      <c r="B18" s="5">
        <f>Trials!A90</f>
        <v>46179</v>
      </c>
      <c r="C18" s="6" t="str">
        <f>Trials!C90</f>
        <v>Michigan Gazehound Association</v>
      </c>
      <c r="D18" s="6" t="str">
        <f>Trials!D90</f>
        <v>Bellevue</v>
      </c>
      <c r="E18" s="6" t="str">
        <f>Trials!E90</f>
        <v>MI</v>
      </c>
      <c r="F18" s="6">
        <f>Trials!H90</f>
        <v>53</v>
      </c>
      <c r="G18" s="6">
        <f>Trials!I90</f>
        <v>50</v>
      </c>
      <c r="H18" s="6">
        <f>IF(Trials!J90="","",Trials!J90)</f>
        <v>16</v>
      </c>
    </row>
    <row r="19">
      <c r="A19" s="6">
        <f t="shared" si="1"/>
        <v>15</v>
      </c>
      <c r="B19" s="5">
        <f>Trials!A14</f>
        <v>46074</v>
      </c>
      <c r="C19" s="6" t="str">
        <f>Trials!C14</f>
        <v>Greater Ocala-Gainesville Lure Coursing Association</v>
      </c>
      <c r="D19" s="6" t="str">
        <f>Trials!D14</f>
        <v>Brooksville</v>
      </c>
      <c r="E19" s="6" t="str">
        <f>Trials!E14</f>
        <v>FL</v>
      </c>
      <c r="F19" s="6">
        <f>Trials!H14</f>
        <v>52</v>
      </c>
      <c r="G19" s="6">
        <f>Trials!I14</f>
        <v>51</v>
      </c>
      <c r="H19" s="6">
        <f>IF(Trials!J14="","",Trials!J14)</f>
        <v>4</v>
      </c>
    </row>
    <row r="20">
      <c r="A20" s="6">
        <f t="shared" si="1"/>
        <v>15</v>
      </c>
      <c r="B20" s="5">
        <f>Trials!A31</f>
        <v>46109</v>
      </c>
      <c r="C20" s="6" t="str">
        <f>Trials!C31</f>
        <v>Afghan Hound Club of Austin</v>
      </c>
      <c r="D20" s="6" t="str">
        <f>Trials!D31</f>
        <v>Florence</v>
      </c>
      <c r="E20" s="6" t="str">
        <f>Trials!E31</f>
        <v>TX</v>
      </c>
      <c r="F20" s="6">
        <f>Trials!H31</f>
        <v>52</v>
      </c>
      <c r="G20" s="6">
        <f>Trials!I31</f>
        <v>51</v>
      </c>
      <c r="H20" s="6">
        <f>IF(Trials!J31="","",Trials!J31)</f>
        <v>9</v>
      </c>
    </row>
    <row r="21" ht="15.75" customHeight="1">
      <c r="A21" s="6">
        <f t="shared" si="1"/>
        <v>15</v>
      </c>
      <c r="B21" s="5">
        <f>Trials!A36</f>
        <v>46110</v>
      </c>
      <c r="C21" s="6" t="str">
        <f>Trials!C36</f>
        <v>Afghan Hound Club of Austin</v>
      </c>
      <c r="D21" s="6" t="str">
        <f>Trials!D36</f>
        <v>Florence</v>
      </c>
      <c r="E21" s="6" t="str">
        <f>Trials!E36</f>
        <v>TX</v>
      </c>
      <c r="F21" s="6">
        <f>Trials!H36</f>
        <v>52</v>
      </c>
      <c r="G21" s="6">
        <f>Trials!I36</f>
        <v>47</v>
      </c>
      <c r="H21" s="6">
        <f>IF(Trials!J36="","",Trials!J36)</f>
        <v>4</v>
      </c>
    </row>
    <row r="22" ht="15.75" customHeight="1">
      <c r="A22" s="6">
        <f t="shared" si="1"/>
        <v>15</v>
      </c>
      <c r="B22" s="5">
        <f>Trials!A44</f>
        <v>46123</v>
      </c>
      <c r="C22" s="6" t="str">
        <f>Trials!C44</f>
        <v>OKI Gazehound Association of Ohio</v>
      </c>
      <c r="D22" s="6" t="str">
        <f>Trials!D44</f>
        <v>Fairborn</v>
      </c>
      <c r="E22" s="6" t="str">
        <f>Trials!E44</f>
        <v>OH</v>
      </c>
      <c r="F22" s="6">
        <f>Trials!H44</f>
        <v>52</v>
      </c>
      <c r="G22" s="6">
        <f>Trials!I44</f>
        <v>51</v>
      </c>
      <c r="H22" s="6">
        <f>IF(Trials!J44="","",Trials!J44)</f>
        <v>13</v>
      </c>
    </row>
    <row r="23" ht="15.75" customHeight="1">
      <c r="A23" s="6">
        <f t="shared" si="1"/>
        <v>19</v>
      </c>
      <c r="B23" s="5">
        <f>Trials!A122</f>
        <v>46270</v>
      </c>
      <c r="C23" s="6" t="str">
        <f>Trials!C122</f>
        <v>Gazehound Association of the Smoky Mountains</v>
      </c>
      <c r="D23" s="6" t="str">
        <f>Trials!D122</f>
        <v>Limestone</v>
      </c>
      <c r="E23" s="6" t="str">
        <f>Trials!E122</f>
        <v>TN</v>
      </c>
      <c r="F23" s="6">
        <f>Trials!H122</f>
        <v>51</v>
      </c>
      <c r="G23" s="6">
        <f>Trials!I122</f>
        <v>50</v>
      </c>
      <c r="H23" s="6">
        <f>IF(Trials!J122="","",Trials!J122)</f>
        <v>3</v>
      </c>
    </row>
    <row r="24" ht="15.75" customHeight="1">
      <c r="A24" s="6">
        <f t="shared" si="1"/>
        <v>20</v>
      </c>
      <c r="B24" s="5">
        <f>Trials!A11</f>
        <v>46061</v>
      </c>
      <c r="C24" s="6" t="str">
        <f>Trials!C11</f>
        <v>Sunshine State Rhodesian Ridgeback Club</v>
      </c>
      <c r="D24" s="6" t="str">
        <f>Trials!D11</f>
        <v>High Springs</v>
      </c>
      <c r="E24" s="6" t="str">
        <f>Trials!E11</f>
        <v>FL</v>
      </c>
      <c r="F24" s="6">
        <f>Trials!H11</f>
        <v>50</v>
      </c>
      <c r="G24" s="6">
        <f>Trials!I11</f>
        <v>50</v>
      </c>
      <c r="H24" s="6">
        <f>IF(Trials!J11="","",Trials!J11)</f>
        <v>3</v>
      </c>
    </row>
    <row r="25" ht="15.75" customHeight="1">
      <c r="A25" s="6">
        <f t="shared" si="1"/>
        <v>21</v>
      </c>
      <c r="B25" s="5">
        <f>Trials!A21</f>
        <v>46088</v>
      </c>
      <c r="C25" s="6" t="str">
        <f>Trials!C21</f>
        <v>Evergreen Basenji Club</v>
      </c>
      <c r="D25" s="6" t="str">
        <f>Trials!D21</f>
        <v>Roy</v>
      </c>
      <c r="E25" s="6" t="str">
        <f>Trials!E21</f>
        <v>WA</v>
      </c>
      <c r="F25" s="6">
        <f>Trials!H21</f>
        <v>49</v>
      </c>
      <c r="G25" s="6">
        <f>Trials!I21</f>
        <v>49</v>
      </c>
      <c r="H25" s="6">
        <f>IF(Trials!J21="","",Trials!J21)</f>
        <v>18</v>
      </c>
    </row>
    <row r="26" ht="15.75" customHeight="1">
      <c r="A26" s="6">
        <f t="shared" si="1"/>
        <v>21</v>
      </c>
      <c r="B26" s="5">
        <f>Trials!A38</f>
        <v>46110</v>
      </c>
      <c r="C26" s="6" t="str">
        <f>Trials!C38</f>
        <v>Sierra Slopes Ibizan Hounds</v>
      </c>
      <c r="D26" s="6" t="str">
        <f>Trials!D38</f>
        <v>Elverta</v>
      </c>
      <c r="E26" s="6" t="str">
        <f>Trials!E38</f>
        <v>CA</v>
      </c>
      <c r="F26" s="6">
        <f>Trials!H38</f>
        <v>49</v>
      </c>
      <c r="G26" s="6">
        <f>Trials!I38</f>
        <v>48</v>
      </c>
      <c r="H26" s="6">
        <f>IF(Trials!J38="","",Trials!J38)</f>
        <v>8</v>
      </c>
    </row>
    <row r="27" ht="15.75" customHeight="1">
      <c r="A27" s="6">
        <f t="shared" si="1"/>
        <v>23</v>
      </c>
      <c r="B27" s="5">
        <f>Trials!A16</f>
        <v>46075</v>
      </c>
      <c r="C27" s="6" t="str">
        <f>Trials!C16</f>
        <v>Desert Fun Bunch Sighthound Club</v>
      </c>
      <c r="D27" s="6" t="str">
        <f>Trials!D16</f>
        <v>Tonopah</v>
      </c>
      <c r="E27" s="6" t="str">
        <f>Trials!E16</f>
        <v>AZ</v>
      </c>
      <c r="F27" s="6">
        <f>Trials!H16</f>
        <v>48</v>
      </c>
      <c r="G27" s="6">
        <f>Trials!I16</f>
        <v>48</v>
      </c>
      <c r="H27" s="6">
        <f>IF(Trials!J16="","",Trials!J16)</f>
        <v>3</v>
      </c>
    </row>
    <row r="28" ht="15.75" customHeight="1">
      <c r="A28" s="6">
        <f t="shared" si="1"/>
        <v>24</v>
      </c>
      <c r="B28" s="5">
        <f>Trials!A27</f>
        <v>46103</v>
      </c>
      <c r="C28" s="6" t="str">
        <f>Trials!C27</f>
        <v>Greater Ocala-Gainesville Lure Coursing Association</v>
      </c>
      <c r="D28" s="6" t="str">
        <f>Trials!D27</f>
        <v>Brooksville</v>
      </c>
      <c r="E28" s="6" t="str">
        <f>Trials!E27</f>
        <v>FL</v>
      </c>
      <c r="F28" s="6">
        <f>Trials!H27</f>
        <v>47</v>
      </c>
      <c r="G28" s="6">
        <f>Trials!I27</f>
        <v>43</v>
      </c>
      <c r="H28" s="6">
        <f>IF(Trials!J27="","",Trials!J27)</f>
        <v>7</v>
      </c>
    </row>
    <row r="29" ht="15.75" customHeight="1">
      <c r="A29" s="6">
        <f t="shared" si="1"/>
        <v>25</v>
      </c>
      <c r="B29" s="5">
        <f>Trials!A47</f>
        <v>46124</v>
      </c>
      <c r="C29" s="6" t="str">
        <f>Trials!C47</f>
        <v>OKI Gazehound Association of Ohio</v>
      </c>
      <c r="D29" s="6" t="str">
        <f>Trials!D47</f>
        <v>Fairborn</v>
      </c>
      <c r="E29" s="6" t="str">
        <f>Trials!E47</f>
        <v>OH</v>
      </c>
      <c r="F29" s="6">
        <f>Trials!H47</f>
        <v>46</v>
      </c>
      <c r="G29" s="6">
        <f>Trials!I47</f>
        <v>44</v>
      </c>
      <c r="H29" s="6">
        <f>IF(Trials!J47="","",Trials!J47)</f>
        <v>3</v>
      </c>
    </row>
    <row r="30" ht="15.75" customHeight="1">
      <c r="A30" s="6">
        <f t="shared" si="1"/>
        <v>26</v>
      </c>
      <c r="B30" s="5">
        <f>Trials!A64</f>
        <v>46152</v>
      </c>
      <c r="C30" s="6" t="str">
        <f>Trials!C64</f>
        <v>Evergreen Basenji Club</v>
      </c>
      <c r="D30" s="6" t="str">
        <f>Trials!D64</f>
        <v>Roy</v>
      </c>
      <c r="E30" s="6" t="str">
        <f>Trials!E64</f>
        <v>WA</v>
      </c>
      <c r="F30" s="6">
        <f>Trials!H64</f>
        <v>44</v>
      </c>
      <c r="G30" s="6">
        <f>Trials!I64</f>
        <v>44</v>
      </c>
      <c r="H30" s="6">
        <f>IF(Trials!J64="","",Trials!J64)</f>
        <v>10</v>
      </c>
    </row>
    <row r="31" ht="15.75" customHeight="1">
      <c r="A31" s="6">
        <f t="shared" si="1"/>
        <v>27</v>
      </c>
      <c r="B31" s="5">
        <f>Trials!A29</f>
        <v>46109</v>
      </c>
      <c r="C31" s="6" t="str">
        <f>Trials!C29</f>
        <v>Sierra Slopes Ibizan Hounds</v>
      </c>
      <c r="D31" s="6" t="str">
        <f>Trials!D29</f>
        <v>Elverta</v>
      </c>
      <c r="E31" s="6" t="str">
        <f>Trials!E29</f>
        <v>CA</v>
      </c>
      <c r="F31" s="6">
        <f>Trials!H29</f>
        <v>43</v>
      </c>
      <c r="G31" s="6">
        <f>Trials!I29</f>
        <v>43</v>
      </c>
      <c r="H31" s="6">
        <f>IF(Trials!J29="","",Trials!J29)</f>
        <v>7</v>
      </c>
    </row>
    <row r="32" ht="15.75" customHeight="1">
      <c r="A32" s="6">
        <f t="shared" si="1"/>
        <v>27</v>
      </c>
      <c r="B32" s="5">
        <f>Trials!A81</f>
        <v>46165</v>
      </c>
      <c r="C32" s="6" t="str">
        <f>Trials!C81</f>
        <v>Iowa Coursing Association</v>
      </c>
      <c r="D32" s="6" t="str">
        <f>Trials!D81</f>
        <v>Cedar Falls</v>
      </c>
      <c r="E32" s="6" t="str">
        <f>Trials!E81</f>
        <v>IA</v>
      </c>
      <c r="F32" s="6">
        <f>Trials!H81</f>
        <v>43</v>
      </c>
      <c r="G32" s="6">
        <f>Trials!I81</f>
        <v>35</v>
      </c>
      <c r="H32" s="6">
        <f>IF(Trials!J81="","",Trials!J81)</f>
        <v>0</v>
      </c>
    </row>
    <row r="33" ht="15.75" customHeight="1">
      <c r="A33" s="6">
        <f t="shared" si="1"/>
        <v>29</v>
      </c>
      <c r="B33" s="5">
        <f>Trials!A17</f>
        <v>46075</v>
      </c>
      <c r="C33" s="6" t="str">
        <f>Trials!C17</f>
        <v>Greater Ocala-Gainesville Lure Coursing Association</v>
      </c>
      <c r="D33" s="6" t="str">
        <f>Trials!D17</f>
        <v>Brooksville</v>
      </c>
      <c r="E33" s="6" t="str">
        <f>Trials!E17</f>
        <v>FL</v>
      </c>
      <c r="F33" s="6">
        <f>Trials!H17</f>
        <v>42</v>
      </c>
      <c r="G33" s="6">
        <f>Trials!I17</f>
        <v>42</v>
      </c>
      <c r="H33" s="6">
        <f>IF(Trials!J17="","",Trials!J17)</f>
        <v>1</v>
      </c>
    </row>
    <row r="34" ht="15.75" customHeight="1">
      <c r="A34" s="6">
        <f t="shared" si="1"/>
        <v>29</v>
      </c>
      <c r="B34" s="5">
        <f>Trials!A18</f>
        <v>46081</v>
      </c>
      <c r="C34" s="6" t="str">
        <f>Trials!C18</f>
        <v>Alamo Area Whippet Club</v>
      </c>
      <c r="D34" s="6" t="str">
        <f>Trials!D18</f>
        <v>Angleton</v>
      </c>
      <c r="E34" s="6" t="str">
        <f>Trials!E18</f>
        <v>TX</v>
      </c>
      <c r="F34" s="6">
        <f>Trials!H18</f>
        <v>42</v>
      </c>
      <c r="G34" s="6">
        <f>Trials!I18</f>
        <v>42</v>
      </c>
      <c r="H34" s="6">
        <f>IF(Trials!J18="","",Trials!J18)</f>
        <v>10</v>
      </c>
    </row>
    <row r="35" ht="15.75" customHeight="1">
      <c r="A35" s="6">
        <f t="shared" si="1"/>
        <v>29</v>
      </c>
      <c r="B35" s="5">
        <f>Trials!A50</f>
        <v>46130</v>
      </c>
      <c r="C35" s="6" t="str">
        <f>Trials!C50</f>
        <v>Western Washington Hound Association</v>
      </c>
      <c r="D35" s="6" t="str">
        <f>Trials!D50</f>
        <v>Ethel</v>
      </c>
      <c r="E35" s="6" t="str">
        <f>Trials!E50</f>
        <v>WA</v>
      </c>
      <c r="F35" s="6">
        <f>Trials!H50</f>
        <v>42</v>
      </c>
      <c r="G35" s="6">
        <f>Trials!I50</f>
        <v>40</v>
      </c>
      <c r="H35" s="6">
        <f>IF(Trials!J50="","",Trials!J50)</f>
        <v>6</v>
      </c>
    </row>
    <row r="36" ht="15.75" customHeight="1">
      <c r="A36" s="6">
        <f t="shared" si="1"/>
        <v>29</v>
      </c>
      <c r="B36" s="5">
        <f>Trials!A70</f>
        <v>46158</v>
      </c>
      <c r="C36" s="6" t="str">
        <f>Trials!C70</f>
        <v>Sighthound Organization of Tidewater</v>
      </c>
      <c r="D36" s="6" t="str">
        <f>Trials!D70</f>
        <v>Dendron</v>
      </c>
      <c r="E36" s="6" t="str">
        <f>Trials!E70</f>
        <v>VA</v>
      </c>
      <c r="F36" s="6">
        <f>Trials!H70</f>
        <v>42</v>
      </c>
      <c r="G36" s="6">
        <f>Trials!I70</f>
        <v>40</v>
      </c>
      <c r="H36" s="6">
        <f>IF(Trials!J70="","",Trials!J70)</f>
        <v>9</v>
      </c>
    </row>
    <row r="37" ht="15.75" customHeight="1">
      <c r="A37" s="6">
        <f t="shared" si="1"/>
        <v>33</v>
      </c>
      <c r="B37" s="5">
        <f>Trials!A3</f>
        <v>46026</v>
      </c>
      <c r="C37" s="6" t="str">
        <f>Trials!C3</f>
        <v>Sunshine State Rhodesian Ridgeback Club</v>
      </c>
      <c r="D37" s="6" t="str">
        <f>Trials!D3</f>
        <v>Weirsdale</v>
      </c>
      <c r="E37" s="6" t="str">
        <f>Trials!E3</f>
        <v>FL</v>
      </c>
      <c r="F37" s="6">
        <f>Trials!H3</f>
        <v>41</v>
      </c>
      <c r="G37" s="6">
        <f>Trials!I3</f>
        <v>37</v>
      </c>
      <c r="H37" s="6">
        <f>IF(Trials!J3="","",Trials!J3)</f>
        <v>2</v>
      </c>
    </row>
    <row r="38" ht="15.75" customHeight="1">
      <c r="A38" s="6">
        <f t="shared" si="1"/>
        <v>33</v>
      </c>
      <c r="B38" s="5">
        <f>Trials!A6</f>
        <v>46039</v>
      </c>
      <c r="C38" s="6" t="str">
        <f>Trials!C6</f>
        <v>Desert Fun Bunch Sighthound Club</v>
      </c>
      <c r="D38" s="6" t="str">
        <f>Trials!D6</f>
        <v>Black Canyon City</v>
      </c>
      <c r="E38" s="6" t="str">
        <f>Trials!E6</f>
        <v>AZ</v>
      </c>
      <c r="F38" s="6">
        <f>Trials!H6</f>
        <v>41</v>
      </c>
      <c r="G38" s="6">
        <f>Trials!I6</f>
        <v>41</v>
      </c>
      <c r="H38" s="6">
        <f>IF(Trials!J6="","",Trials!J6)</f>
        <v>2</v>
      </c>
    </row>
    <row r="39" ht="15.75" customHeight="1">
      <c r="A39" s="6">
        <f t="shared" si="1"/>
        <v>33</v>
      </c>
      <c r="B39" s="5">
        <f>Trials!A10</f>
        <v>46060</v>
      </c>
      <c r="C39" s="6" t="str">
        <f>Trials!C10</f>
        <v>Sunshine State Rhodesian Ridgeback Club</v>
      </c>
      <c r="D39" s="6" t="str">
        <f>Trials!D10</f>
        <v>High Springs</v>
      </c>
      <c r="E39" s="6" t="str">
        <f>Trials!E10</f>
        <v>FL</v>
      </c>
      <c r="F39" s="6">
        <f>Trials!H10</f>
        <v>41</v>
      </c>
      <c r="G39" s="6">
        <f>Trials!I10</f>
        <v>41</v>
      </c>
      <c r="H39" s="6">
        <f>IF(Trials!J10="","",Trials!J10)</f>
        <v>9</v>
      </c>
    </row>
    <row r="40" ht="15.75" customHeight="1">
      <c r="A40" s="6">
        <f t="shared" si="1"/>
        <v>33</v>
      </c>
      <c r="B40" s="5">
        <f>Trials!A84</f>
        <v>46166</v>
      </c>
      <c r="C40" s="6" t="str">
        <f>Trials!C84</f>
        <v>Iowa Coursing Association</v>
      </c>
      <c r="D40" s="6" t="str">
        <f>Trials!D84</f>
        <v>Cedar Falls</v>
      </c>
      <c r="E40" s="6" t="str">
        <f>Trials!E84</f>
        <v>IA</v>
      </c>
      <c r="F40" s="6">
        <f>Trials!H84</f>
        <v>41</v>
      </c>
      <c r="G40" s="6">
        <f>Trials!I84</f>
        <v>37</v>
      </c>
      <c r="H40" s="6">
        <f>IF(Trials!J84="","",Trials!J84)</f>
        <v>1</v>
      </c>
    </row>
    <row r="41" ht="15.75" customHeight="1">
      <c r="A41" s="6">
        <f t="shared" si="1"/>
        <v>37</v>
      </c>
      <c r="B41" s="5">
        <f>Trials!A49</f>
        <v>46124</v>
      </c>
      <c r="C41" s="6" t="str">
        <f>Trials!C49</f>
        <v>Trinity Valley Rhodesian Ridgeback Club of Texas</v>
      </c>
      <c r="D41" s="6" t="str">
        <f>Trials!D49</f>
        <v>Ponder</v>
      </c>
      <c r="E41" s="6" t="str">
        <f>Trials!E49</f>
        <v>TX</v>
      </c>
      <c r="F41" s="6">
        <f>Trials!H49</f>
        <v>40</v>
      </c>
      <c r="G41" s="6">
        <f>Trials!I49</f>
        <v>40</v>
      </c>
      <c r="H41" s="6">
        <f>IF(Trials!J49="","",Trials!J49)</f>
        <v>3</v>
      </c>
    </row>
    <row r="42" ht="15.75" customHeight="1">
      <c r="A42" s="6">
        <f t="shared" si="1"/>
        <v>38</v>
      </c>
      <c r="B42" s="5">
        <f>Trials!A8</f>
        <v>46040</v>
      </c>
      <c r="C42" s="6" t="str">
        <f>Trials!C8</f>
        <v>Desert Fun Bunch Sighthound Club</v>
      </c>
      <c r="D42" s="6" t="str">
        <f>Trials!D8</f>
        <v>Black Canyon City</v>
      </c>
      <c r="E42" s="6" t="str">
        <f>Trials!E8</f>
        <v>AZ</v>
      </c>
      <c r="F42" s="6">
        <f>Trials!H8</f>
        <v>39</v>
      </c>
      <c r="G42" s="6">
        <f>Trials!I8</f>
        <v>39</v>
      </c>
      <c r="H42" s="6">
        <f>IF(Trials!J8="","",Trials!J8)</f>
        <v>4</v>
      </c>
    </row>
    <row r="43" ht="15.75" customHeight="1">
      <c r="A43" s="6">
        <f t="shared" si="1"/>
        <v>38</v>
      </c>
      <c r="B43" s="5">
        <f>Trials!A32</f>
        <v>46109</v>
      </c>
      <c r="C43" s="6" t="str">
        <f>Trials!C32</f>
        <v>Sunshine State Rhodesian Ridgeback Club</v>
      </c>
      <c r="D43" s="6" t="str">
        <f>Trials!D32</f>
        <v>Weirsdale</v>
      </c>
      <c r="E43" s="6" t="str">
        <f>Trials!E32</f>
        <v>FL</v>
      </c>
      <c r="F43" s="6">
        <f>Trials!H32</f>
        <v>39</v>
      </c>
      <c r="G43" s="6">
        <f>Trials!I32</f>
        <v>38</v>
      </c>
      <c r="H43" s="6">
        <f>IF(Trials!J32="","",Trials!J32)</f>
        <v>4</v>
      </c>
    </row>
    <row r="44" ht="15.75" customHeight="1">
      <c r="A44" s="6">
        <f t="shared" si="1"/>
        <v>38</v>
      </c>
      <c r="B44" s="5">
        <f>Trials!A74</f>
        <v>46159</v>
      </c>
      <c r="C44" s="6" t="str">
        <f>Trials!C74</f>
        <v>Gazehounds of New England Lure Coursing Club</v>
      </c>
      <c r="D44" s="6" t="str">
        <f>Trials!D74</f>
        <v>Waterford</v>
      </c>
      <c r="E44" s="6" t="str">
        <f>Trials!E74</f>
        <v>CT</v>
      </c>
      <c r="F44" s="6">
        <f>Trials!H74</f>
        <v>39</v>
      </c>
      <c r="G44" s="6">
        <f>Trials!I74</f>
        <v>39</v>
      </c>
      <c r="H44" s="6">
        <f>IF(Trials!J74="","",Trials!J74)</f>
        <v>7</v>
      </c>
    </row>
    <row r="45" ht="15.75" customHeight="1">
      <c r="A45" s="6">
        <f t="shared" si="1"/>
        <v>38</v>
      </c>
      <c r="B45" s="5">
        <f>Trials!A120</f>
        <v>46249</v>
      </c>
      <c r="C45" s="6" t="str">
        <f>Trials!C120</f>
        <v>Coursing Hounds Association of Mid-Potomac</v>
      </c>
      <c r="D45" s="6" t="str">
        <f>Trials!D120</f>
        <v>Leesburg</v>
      </c>
      <c r="E45" s="6" t="str">
        <f>Trials!E120</f>
        <v>VA</v>
      </c>
      <c r="F45" s="6">
        <f>Trials!H120</f>
        <v>39</v>
      </c>
      <c r="G45" s="6">
        <f>Trials!I120</f>
        <v>39</v>
      </c>
      <c r="H45" s="6">
        <f>IF(Trials!J120="","",Trials!J120)</f>
        <v>2</v>
      </c>
    </row>
    <row r="46" ht="15.75" customHeight="1">
      <c r="A46" s="6">
        <f t="shared" si="1"/>
        <v>42</v>
      </c>
      <c r="B46" s="5">
        <f>Trials!A34</f>
        <v>46110</v>
      </c>
      <c r="C46" s="6" t="str">
        <f>Trials!C34</f>
        <v>Sunshine State Rhodesian Ridgeback Club</v>
      </c>
      <c r="D46" s="6" t="str">
        <f>Trials!D34</f>
        <v>Weirsdale</v>
      </c>
      <c r="E46" s="6" t="str">
        <f>Trials!E34</f>
        <v>FL</v>
      </c>
      <c r="F46" s="6">
        <f>Trials!H34</f>
        <v>38</v>
      </c>
      <c r="G46" s="6">
        <f>Trials!I34</f>
        <v>36</v>
      </c>
      <c r="H46" s="6">
        <f>IF(Trials!J34="","",Trials!J34)</f>
        <v>0</v>
      </c>
    </row>
    <row r="47" ht="15.75" customHeight="1">
      <c r="A47" s="6">
        <f t="shared" si="1"/>
        <v>42</v>
      </c>
      <c r="B47" s="5">
        <f>Trials!A91</f>
        <v>46179</v>
      </c>
      <c r="C47" s="6" t="str">
        <f>Trials!C91</f>
        <v>Northwest Rhodesian Ridgeback Club</v>
      </c>
      <c r="D47" s="6" t="str">
        <f>Trials!D91</f>
        <v>Ethel</v>
      </c>
      <c r="E47" s="6" t="str">
        <f>Trials!E91</f>
        <v>WA</v>
      </c>
      <c r="F47" s="6">
        <f>Trials!H91</f>
        <v>38</v>
      </c>
      <c r="G47" s="6">
        <f>Trials!I91</f>
        <v>38</v>
      </c>
      <c r="H47" s="6">
        <f>IF(Trials!J91="","",Trials!J91)</f>
        <v>9</v>
      </c>
    </row>
    <row r="48" ht="15.75" customHeight="1">
      <c r="A48" s="6">
        <f t="shared" si="1"/>
        <v>42</v>
      </c>
      <c r="B48" s="5">
        <f>Trials!A111</f>
        <v>46208</v>
      </c>
      <c r="C48" s="6" t="str">
        <f>Trials!C111</f>
        <v>Minnesota Coursing Association</v>
      </c>
      <c r="D48" s="6" t="str">
        <f>Trials!D111</f>
        <v>Farmington</v>
      </c>
      <c r="E48" s="6" t="str">
        <f>Trials!E111</f>
        <v>MN</v>
      </c>
      <c r="F48" s="6">
        <f>Trials!H111</f>
        <v>38</v>
      </c>
      <c r="G48" s="6">
        <f>Trials!I111</f>
        <v>34</v>
      </c>
      <c r="H48" s="6">
        <f>IF(Trials!J111="","",Trials!J111)</f>
        <v>6</v>
      </c>
    </row>
    <row r="49" ht="15.75" customHeight="1">
      <c r="A49" s="6">
        <f t="shared" si="1"/>
        <v>45</v>
      </c>
      <c r="B49" s="5">
        <f>Trials!A20</f>
        <v>46082</v>
      </c>
      <c r="C49" s="6" t="str">
        <f>Trials!C20</f>
        <v>Northern California Irish Wolfhound Club</v>
      </c>
      <c r="D49" s="6" t="str">
        <f>Trials!D20</f>
        <v>Fairfield</v>
      </c>
      <c r="E49" s="6" t="str">
        <f>Trials!E20</f>
        <v>CA</v>
      </c>
      <c r="F49" s="6">
        <f>Trials!H20</f>
        <v>37</v>
      </c>
      <c r="G49" s="6">
        <f>Trials!I20</f>
        <v>37</v>
      </c>
      <c r="H49" s="6">
        <f>IF(Trials!J20="","",Trials!J20)</f>
        <v>4</v>
      </c>
    </row>
    <row r="50" ht="15.75" customHeight="1">
      <c r="A50" s="6">
        <f t="shared" si="1"/>
        <v>45</v>
      </c>
      <c r="B50" s="5">
        <f>Trials!A30</f>
        <v>46109</v>
      </c>
      <c r="C50" s="6" t="str">
        <f>Trials!C30</f>
        <v>Northwest Rhodesian Ridgeback Club</v>
      </c>
      <c r="D50" s="6" t="str">
        <f>Trials!D30</f>
        <v>Ethel</v>
      </c>
      <c r="E50" s="6" t="str">
        <f>Trials!E30</f>
        <v>WA</v>
      </c>
      <c r="F50" s="6">
        <f>Trials!H30</f>
        <v>37</v>
      </c>
      <c r="G50" s="6">
        <f>Trials!I30</f>
        <v>37</v>
      </c>
      <c r="H50" s="6">
        <f>IF(Trials!J30="","",Trials!J30)</f>
        <v>5</v>
      </c>
    </row>
    <row r="51" ht="15.75" customHeight="1">
      <c r="A51" s="6">
        <f t="shared" si="1"/>
        <v>45</v>
      </c>
      <c r="B51" s="5">
        <f>Trials!A45</f>
        <v>46123</v>
      </c>
      <c r="C51" s="6" t="str">
        <f>Trials!C45</f>
        <v>Trinity Valley Rhodesian Ridgeback Club of Texas</v>
      </c>
      <c r="D51" s="6" t="str">
        <f>Trials!D45</f>
        <v>Ponder</v>
      </c>
      <c r="E51" s="6" t="str">
        <f>Trials!E45</f>
        <v>TX</v>
      </c>
      <c r="F51" s="6">
        <f>Trials!H45</f>
        <v>37</v>
      </c>
      <c r="G51" s="6">
        <f>Trials!I45</f>
        <v>37</v>
      </c>
      <c r="H51" s="6">
        <f>IF(Trials!J45="","",Trials!J45)</f>
        <v>9</v>
      </c>
    </row>
    <row r="52" ht="15.75" customHeight="1">
      <c r="A52" s="6">
        <f t="shared" si="1"/>
        <v>45</v>
      </c>
      <c r="B52" s="5">
        <f>Trials!A93</f>
        <v>46180</v>
      </c>
      <c r="C52" s="6" t="str">
        <f>Trials!C93</f>
        <v>Northwest Rhodesian Ridgeback Club</v>
      </c>
      <c r="D52" s="6" t="str">
        <f>Trials!D93</f>
        <v>Ethel</v>
      </c>
      <c r="E52" s="6" t="str">
        <f>Trials!E93</f>
        <v>WA</v>
      </c>
      <c r="F52" s="6">
        <f>Trials!H93</f>
        <v>37</v>
      </c>
      <c r="G52" s="6">
        <f>Trials!I93</f>
        <v>36</v>
      </c>
      <c r="H52" s="6">
        <f>IF(Trials!J93="","",Trials!J93)</f>
        <v>6</v>
      </c>
    </row>
    <row r="53" ht="15.75" customHeight="1">
      <c r="A53" s="6">
        <f t="shared" si="1"/>
        <v>45</v>
      </c>
      <c r="B53" s="5">
        <f>Trials!A103</f>
        <v>46199</v>
      </c>
      <c r="C53" s="6" t="str">
        <f>Trials!C103</f>
        <v>American Whippet Club, Inc.</v>
      </c>
      <c r="D53" s="6" t="str">
        <f>Trials!D103</f>
        <v>Williamston</v>
      </c>
      <c r="E53" s="6" t="str">
        <f>Trials!E103</f>
        <v>MI</v>
      </c>
      <c r="F53" s="6">
        <f>Trials!H103</f>
        <v>37</v>
      </c>
      <c r="G53" s="6">
        <f>Trials!I103</f>
        <v>37</v>
      </c>
      <c r="H53" s="6" t="str">
        <f>IF(Trials!J103="","",Trials!J103)</f>
        <v/>
      </c>
    </row>
    <row r="54" ht="15.75" customHeight="1">
      <c r="A54" s="6">
        <f t="shared" si="1"/>
        <v>50</v>
      </c>
      <c r="B54" s="5">
        <f>Trials!A40</f>
        <v>46116</v>
      </c>
      <c r="C54" s="6" t="str">
        <f>Trials!C40</f>
        <v>Iowa Coursing Association</v>
      </c>
      <c r="D54" s="6" t="str">
        <f>Trials!D40</f>
        <v>Des Moines</v>
      </c>
      <c r="E54" s="6" t="str">
        <f>Trials!E40</f>
        <v>IA</v>
      </c>
      <c r="F54" s="6">
        <f>Trials!H40</f>
        <v>36</v>
      </c>
      <c r="G54" s="6">
        <f>Trials!I40</f>
        <v>36</v>
      </c>
      <c r="H54" s="6" t="str">
        <f>IF(Trials!J40="","",Trials!J40)</f>
        <v/>
      </c>
    </row>
    <row r="55" ht="15.75" customHeight="1">
      <c r="A55" s="6">
        <f t="shared" si="1"/>
        <v>50</v>
      </c>
      <c r="B55" s="5">
        <f>Trials!A42</f>
        <v>46121</v>
      </c>
      <c r="C55" s="6" t="str">
        <f>Trials!C42</f>
        <v>Orange Coast Rhodesian Ridgeback Club</v>
      </c>
      <c r="D55" s="6" t="str">
        <f>Trials!D42</f>
        <v>Chino</v>
      </c>
      <c r="E55" s="6" t="str">
        <f>Trials!E42</f>
        <v>CA</v>
      </c>
      <c r="F55" s="6">
        <f>Trials!H42</f>
        <v>36</v>
      </c>
      <c r="G55" s="6">
        <f>Trials!I42</f>
        <v>35</v>
      </c>
      <c r="H55" s="6" t="str">
        <f>IF(Trials!J42="","",Trials!J42)</f>
        <v/>
      </c>
    </row>
    <row r="56" ht="15.75" customHeight="1">
      <c r="A56" s="6">
        <f t="shared" si="1"/>
        <v>50</v>
      </c>
      <c r="B56" s="5">
        <f>Trials!A53</f>
        <v>46131</v>
      </c>
      <c r="C56" s="6" t="str">
        <f>Trials!C53</f>
        <v>Western Washington Hound Association</v>
      </c>
      <c r="D56" s="6" t="str">
        <f>Trials!D53</f>
        <v>Ethel</v>
      </c>
      <c r="E56" s="6" t="str">
        <f>Trials!E53</f>
        <v>WA</v>
      </c>
      <c r="F56" s="6">
        <f>Trials!H53</f>
        <v>36</v>
      </c>
      <c r="G56" s="6">
        <f>Trials!I53</f>
        <v>35</v>
      </c>
      <c r="H56" s="6">
        <f>IF(Trials!J53="","",Trials!J53)</f>
        <v>4</v>
      </c>
    </row>
    <row r="57" ht="15.75" customHeight="1">
      <c r="A57" s="6">
        <f t="shared" si="1"/>
        <v>50</v>
      </c>
      <c r="B57" s="5">
        <f>Trials!A110</f>
        <v>46207</v>
      </c>
      <c r="C57" s="6" t="str">
        <f>Trials!C110</f>
        <v>Minnesota Coursing Association</v>
      </c>
      <c r="D57" s="6" t="str">
        <f>Trials!D110</f>
        <v>Farmington</v>
      </c>
      <c r="E57" s="6" t="str">
        <f>Trials!E110</f>
        <v>MN</v>
      </c>
      <c r="F57" s="6">
        <f>Trials!H110</f>
        <v>36</v>
      </c>
      <c r="G57" s="6">
        <f>Trials!I110</f>
        <v>34</v>
      </c>
      <c r="H57" s="6">
        <f>IF(Trials!J110="","",Trials!J110)</f>
        <v>10</v>
      </c>
    </row>
    <row r="58" ht="15.75" customHeight="1">
      <c r="A58" s="6">
        <f t="shared" si="1"/>
        <v>54</v>
      </c>
      <c r="B58" s="5">
        <f>Trials!A2</f>
        <v>46025</v>
      </c>
      <c r="C58" s="6" t="str">
        <f>Trials!C2</f>
        <v>Sunshine State Rhodesian Ridgeback Club</v>
      </c>
      <c r="D58" s="6" t="str">
        <f>Trials!D2</f>
        <v>Weirsdale</v>
      </c>
      <c r="E58" s="6" t="str">
        <f>Trials!E2</f>
        <v>FL</v>
      </c>
      <c r="F58" s="6">
        <f>Trials!H2</f>
        <v>35</v>
      </c>
      <c r="G58" s="6">
        <f>Trials!I2</f>
        <v>34</v>
      </c>
      <c r="H58" s="6">
        <f>IF(Trials!J2="","",Trials!J2)</f>
        <v>12</v>
      </c>
    </row>
    <row r="59" ht="15.75" customHeight="1">
      <c r="A59" s="6">
        <f t="shared" si="1"/>
        <v>54</v>
      </c>
      <c r="B59" s="5">
        <f>Trials!A25</f>
        <v>46102</v>
      </c>
      <c r="C59" s="6" t="str">
        <f>Trials!C25</f>
        <v>Greater Ocala-Gainesville Lure Coursing Association</v>
      </c>
      <c r="D59" s="6" t="str">
        <f>Trials!D25</f>
        <v>Brooksville</v>
      </c>
      <c r="E59" s="6" t="str">
        <f>Trials!E25</f>
        <v>FL</v>
      </c>
      <c r="F59" s="6">
        <f>Trials!H25</f>
        <v>35</v>
      </c>
      <c r="G59" s="6">
        <f>Trials!I25</f>
        <v>35</v>
      </c>
      <c r="H59" s="6" t="str">
        <f>IF(Trials!J25="","",Trials!J25)</f>
        <v/>
      </c>
    </row>
    <row r="60" ht="15.75" customHeight="1">
      <c r="A60" s="6">
        <f t="shared" si="1"/>
        <v>54</v>
      </c>
      <c r="B60" s="5">
        <f>Trials!A67</f>
        <v>46152</v>
      </c>
      <c r="C60" s="6" t="str">
        <f>Trials!C67</f>
        <v>Borzoi Club of America, Inc.</v>
      </c>
      <c r="D60" s="6" t="str">
        <f>Trials!D67</f>
        <v>Weeping Water</v>
      </c>
      <c r="E60" s="6" t="str">
        <f>Trials!E67</f>
        <v>NE</v>
      </c>
      <c r="F60" s="6">
        <f>Trials!H67</f>
        <v>35</v>
      </c>
      <c r="G60" s="6">
        <f>Trials!I67</f>
        <v>33</v>
      </c>
      <c r="H60" s="6">
        <f>IF(Trials!J67="","",Trials!J67)</f>
        <v>8</v>
      </c>
    </row>
    <row r="61" ht="15.75" customHeight="1">
      <c r="A61" s="6">
        <f t="shared" si="1"/>
        <v>54</v>
      </c>
      <c r="B61" s="5">
        <f>Trials!A82</f>
        <v>46165</v>
      </c>
      <c r="C61" s="6" t="str">
        <f>Trials!C82</f>
        <v>Mason Dixon Ibizan Hound Club</v>
      </c>
      <c r="D61" s="6" t="str">
        <f>Trials!D82</f>
        <v>Hanover</v>
      </c>
      <c r="E61" s="6" t="str">
        <f>Trials!E82</f>
        <v>PA</v>
      </c>
      <c r="F61" s="6">
        <f>Trials!H82</f>
        <v>35</v>
      </c>
      <c r="G61" s="6">
        <f>Trials!I82</f>
        <v>34</v>
      </c>
      <c r="H61" s="6">
        <f>IF(Trials!J82="","",Trials!J82)</f>
        <v>7</v>
      </c>
    </row>
    <row r="62" ht="15.75" customHeight="1">
      <c r="A62" s="6">
        <f t="shared" si="1"/>
        <v>54</v>
      </c>
      <c r="B62" s="5">
        <f>Trials!A83</f>
        <v>46166</v>
      </c>
      <c r="C62" s="6" t="str">
        <f>Trials!C83</f>
        <v>Mason Dixon Ibizan Hound Club</v>
      </c>
      <c r="D62" s="6" t="str">
        <f>Trials!D83</f>
        <v>Hanover</v>
      </c>
      <c r="E62" s="6" t="str">
        <f>Trials!E83</f>
        <v>PA</v>
      </c>
      <c r="F62" s="6">
        <f>Trials!H83</f>
        <v>35</v>
      </c>
      <c r="G62" s="6">
        <f>Trials!I83</f>
        <v>32</v>
      </c>
      <c r="H62" s="6">
        <f>IF(Trials!J83="","",Trials!J83)</f>
        <v>2</v>
      </c>
    </row>
    <row r="63" ht="15.75" customHeight="1">
      <c r="A63" s="6">
        <f t="shared" si="1"/>
        <v>59</v>
      </c>
      <c r="B63" s="5">
        <f>Trials!A85</f>
        <v>46167</v>
      </c>
      <c r="C63" s="6" t="str">
        <f>Trials!C85</f>
        <v>Mason Dixon Ibizan Hound Club</v>
      </c>
      <c r="D63" s="6" t="str">
        <f>Trials!D85</f>
        <v>Hanover</v>
      </c>
      <c r="E63" s="6" t="str">
        <f>Trials!E85</f>
        <v>PA</v>
      </c>
      <c r="F63" s="6">
        <f>Trials!H85</f>
        <v>34</v>
      </c>
      <c r="G63" s="6">
        <f>Trials!I85</f>
        <v>34</v>
      </c>
      <c r="H63" s="6">
        <f>IF(Trials!J85="","",Trials!J85)</f>
        <v>5</v>
      </c>
    </row>
    <row r="64" ht="15.75" customHeight="1">
      <c r="A64" s="6">
        <f t="shared" si="1"/>
        <v>60</v>
      </c>
      <c r="B64" s="5">
        <f>Trials!A35</f>
        <v>46110</v>
      </c>
      <c r="C64" s="6" t="str">
        <f>Trials!C35</f>
        <v>Northwest Rhodesian Ridgeback Club</v>
      </c>
      <c r="D64" s="6" t="str">
        <f>Trials!D35</f>
        <v>Ethel</v>
      </c>
      <c r="E64" s="6" t="str">
        <f>Trials!E35</f>
        <v>WA</v>
      </c>
      <c r="F64" s="6">
        <f>Trials!H35</f>
        <v>33</v>
      </c>
      <c r="G64" s="6">
        <f>Trials!I35</f>
        <v>32</v>
      </c>
      <c r="H64" s="6">
        <f>IF(Trials!J35="","",Trials!J35)</f>
        <v>3</v>
      </c>
    </row>
    <row r="65" ht="15.75" customHeight="1">
      <c r="A65" s="6">
        <f t="shared" si="1"/>
        <v>60</v>
      </c>
      <c r="B65" s="5">
        <f>Trials!A98</f>
        <v>46193</v>
      </c>
      <c r="C65" s="6" t="str">
        <f>Trials!C98</f>
        <v>Western Washington Whippet Association</v>
      </c>
      <c r="D65" s="6" t="str">
        <f>Trials!D98</f>
        <v>Monroe</v>
      </c>
      <c r="E65" s="6" t="str">
        <f>Trials!E98</f>
        <v>WA</v>
      </c>
      <c r="F65" s="6">
        <f>Trials!H98</f>
        <v>33</v>
      </c>
      <c r="G65" s="6">
        <f>Trials!I98</f>
        <v>33</v>
      </c>
      <c r="H65" s="6">
        <f>IF(Trials!J98="","",Trials!J98)</f>
        <v>4</v>
      </c>
    </row>
    <row r="66" ht="15.75" customHeight="1">
      <c r="A66" s="6">
        <f t="shared" si="1"/>
        <v>62</v>
      </c>
      <c r="B66" s="5">
        <f>Trials!A24</f>
        <v>46089</v>
      </c>
      <c r="C66" s="6" t="str">
        <f>Trials!C24</f>
        <v>Evergreen Basenji Club</v>
      </c>
      <c r="D66" s="6" t="str">
        <f>Trials!D24</f>
        <v>Roy</v>
      </c>
      <c r="E66" s="6" t="str">
        <f>Trials!E24</f>
        <v>WA</v>
      </c>
      <c r="F66" s="6">
        <f>Trials!H24</f>
        <v>32</v>
      </c>
      <c r="G66" s="6">
        <f>Trials!I24</f>
        <v>32</v>
      </c>
      <c r="H66" s="6">
        <f>IF(Trials!J24="","",Trials!J24)</f>
        <v>4</v>
      </c>
    </row>
    <row r="67" ht="15.75" customHeight="1">
      <c r="A67" s="6">
        <f t="shared" si="1"/>
        <v>62</v>
      </c>
      <c r="B67" s="5">
        <f>Trials!A112</f>
        <v>46214</v>
      </c>
      <c r="C67" s="6" t="str">
        <f>Trials!C112</f>
        <v>Northwest Rhodesian Ridgeback Club</v>
      </c>
      <c r="D67" s="6" t="str">
        <f>Trials!D112</f>
        <v>Duvall</v>
      </c>
      <c r="E67" s="6" t="str">
        <f>Trials!E112</f>
        <v>WA</v>
      </c>
      <c r="F67" s="6">
        <f>Trials!H112</f>
        <v>32</v>
      </c>
      <c r="G67" s="6">
        <f>Trials!I112</f>
        <v>32</v>
      </c>
      <c r="H67" s="6">
        <f>IF(Trials!J112="","",Trials!J112)</f>
        <v>9</v>
      </c>
    </row>
    <row r="68" ht="15.75" customHeight="1">
      <c r="A68" s="6">
        <f t="shared" si="1"/>
        <v>62</v>
      </c>
      <c r="B68" s="5">
        <f>Trials!A121</f>
        <v>46250</v>
      </c>
      <c r="C68" s="6" t="str">
        <f>Trials!C121</f>
        <v>Coursing Hounds Association of Mid-Potomac</v>
      </c>
      <c r="D68" s="6" t="str">
        <f>Trials!D121</f>
        <v>Leesburg</v>
      </c>
      <c r="E68" s="6" t="str">
        <f>Trials!E121</f>
        <v>VA</v>
      </c>
      <c r="F68" s="6">
        <f>Trials!H121</f>
        <v>32</v>
      </c>
      <c r="G68" s="6">
        <f>Trials!I121</f>
        <v>32</v>
      </c>
      <c r="H68" s="6">
        <f>IF(Trials!J121="","",Trials!J121)</f>
        <v>5</v>
      </c>
    </row>
    <row r="69" ht="15.75" customHeight="1">
      <c r="A69" s="6">
        <f t="shared" si="1"/>
        <v>65</v>
      </c>
      <c r="B69" s="5">
        <f>Trials!A19</f>
        <v>46082</v>
      </c>
      <c r="C69" s="6" t="str">
        <f>Trials!C19</f>
        <v>Alamo Area Whippet Club</v>
      </c>
      <c r="D69" s="6" t="str">
        <f>Trials!D19</f>
        <v>Angleton</v>
      </c>
      <c r="E69" s="6" t="str">
        <f>Trials!E19</f>
        <v>TX</v>
      </c>
      <c r="F69" s="6">
        <f>Trials!H19</f>
        <v>31</v>
      </c>
      <c r="G69" s="6">
        <f>Trials!I19</f>
        <v>31</v>
      </c>
      <c r="H69" s="6">
        <f>IF(Trials!J19="","",Trials!J19)</f>
        <v>2</v>
      </c>
    </row>
    <row r="70" ht="15.75" customHeight="1">
      <c r="A70" s="6">
        <f t="shared" si="1"/>
        <v>65</v>
      </c>
      <c r="B70" s="5">
        <f>Trials!A22</f>
        <v>46088</v>
      </c>
      <c r="C70" s="6" t="str">
        <f>Trials!C22</f>
        <v>Arizona Rhodesian Ridgeback Club</v>
      </c>
      <c r="D70" s="6" t="str">
        <f>Trials!D22</f>
        <v>Tonopah</v>
      </c>
      <c r="E70" s="6" t="str">
        <f>Trials!E22</f>
        <v>AZ</v>
      </c>
      <c r="F70" s="6">
        <f>Trials!H22</f>
        <v>31</v>
      </c>
      <c r="G70" s="6">
        <f>Trials!I22</f>
        <v>31</v>
      </c>
      <c r="H70" s="6">
        <f>IF(Trials!J22="","",Trials!J22)</f>
        <v>10</v>
      </c>
    </row>
    <row r="71" ht="15.75" customHeight="1">
      <c r="A71" s="6">
        <f t="shared" si="1"/>
        <v>65</v>
      </c>
      <c r="B71" s="5">
        <f>Trials!A46</f>
        <v>46124</v>
      </c>
      <c r="C71" s="6" t="str">
        <f>Trials!C46</f>
        <v>Greater Valley Forge Rhodesian Ridgeback Club, Inc.</v>
      </c>
      <c r="D71" s="6" t="str">
        <f>Trials!D46</f>
        <v>Somerset</v>
      </c>
      <c r="E71" s="6" t="str">
        <f>Trials!E46</f>
        <v>NJ</v>
      </c>
      <c r="F71" s="6">
        <f>Trials!H46</f>
        <v>31</v>
      </c>
      <c r="G71" s="6">
        <f>Trials!I46</f>
        <v>30</v>
      </c>
      <c r="H71" s="6">
        <f>IF(Trials!J46="","",Trials!J46)</f>
        <v>6</v>
      </c>
    </row>
    <row r="72" ht="15.75" customHeight="1">
      <c r="A72" s="6">
        <f t="shared" si="1"/>
        <v>65</v>
      </c>
      <c r="B72" s="5">
        <f>Trials!A100</f>
        <v>46194</v>
      </c>
      <c r="C72" s="6" t="str">
        <f>Trials!C100</f>
        <v>Western Washington Whippet Association</v>
      </c>
      <c r="D72" s="6" t="str">
        <f>Trials!D100</f>
        <v>Monroe</v>
      </c>
      <c r="E72" s="6" t="str">
        <f>Trials!E100</f>
        <v>WA</v>
      </c>
      <c r="F72" s="6">
        <f>Trials!H100</f>
        <v>31</v>
      </c>
      <c r="G72" s="6">
        <f>Trials!I100</f>
        <v>29</v>
      </c>
      <c r="H72" s="6">
        <f>IF(Trials!J100="","",Trials!J100)</f>
        <v>2</v>
      </c>
    </row>
    <row r="73" ht="15.75" customHeight="1">
      <c r="A73" s="6">
        <f t="shared" si="1"/>
        <v>69</v>
      </c>
      <c r="B73" s="5">
        <f>Trials!A114</f>
        <v>46215</v>
      </c>
      <c r="C73" s="6" t="str">
        <f>Trials!C114</f>
        <v>Northwest Rhodesian Ridgeback Club</v>
      </c>
      <c r="D73" s="6" t="str">
        <f>Trials!D114</f>
        <v>Duvall</v>
      </c>
      <c r="E73" s="6" t="str">
        <f>Trials!E114</f>
        <v>WA</v>
      </c>
      <c r="F73" s="6">
        <f>Trials!H114</f>
        <v>30</v>
      </c>
      <c r="G73" s="6">
        <f>Trials!I114</f>
        <v>30</v>
      </c>
      <c r="H73" s="6">
        <f>IF(Trials!J114="","",Trials!J114)</f>
        <v>7</v>
      </c>
    </row>
    <row r="74" ht="15.75" customHeight="1">
      <c r="A74" s="6">
        <f t="shared" si="1"/>
        <v>69</v>
      </c>
      <c r="B74" s="5">
        <f>Trials!A126</f>
        <v>46272</v>
      </c>
      <c r="C74" s="6" t="str">
        <f>Trials!C126</f>
        <v>Central Leatherstocking Area Sighthound Society</v>
      </c>
      <c r="D74" s="6" t="str">
        <f>Trials!D126</f>
        <v>Starkville</v>
      </c>
      <c r="E74" s="6" t="str">
        <f>Trials!E126</f>
        <v>NY</v>
      </c>
      <c r="F74" s="6">
        <f>Trials!H126</f>
        <v>30</v>
      </c>
      <c r="G74" s="6">
        <f>Trials!I126</f>
        <v>30</v>
      </c>
      <c r="H74" s="6">
        <f>IF(Trials!J126="","",Trials!J126)</f>
        <v>0</v>
      </c>
    </row>
    <row r="75" ht="15.75" customHeight="1">
      <c r="A75" s="6">
        <f t="shared" si="1"/>
        <v>71</v>
      </c>
      <c r="B75" s="5">
        <f>Trials!A43</f>
        <v>46123</v>
      </c>
      <c r="C75" s="6" t="str">
        <f>Trials!C43</f>
        <v>Greater Valley Forge Rhodesian Ridgeback Club, Inc.</v>
      </c>
      <c r="D75" s="6" t="str">
        <f>Trials!D43</f>
        <v>Somerset</v>
      </c>
      <c r="E75" s="6" t="str">
        <f>Trials!E43</f>
        <v>NJ</v>
      </c>
      <c r="F75" s="6">
        <f>Trials!H43</f>
        <v>27</v>
      </c>
      <c r="G75" s="6">
        <f>Trials!I43</f>
        <v>26</v>
      </c>
      <c r="H75" s="6">
        <f>IF(Trials!J43="","",Trials!J43)</f>
        <v>9</v>
      </c>
    </row>
    <row r="76" ht="15.75" customHeight="1">
      <c r="A76" s="6">
        <f t="shared" si="1"/>
        <v>72</v>
      </c>
      <c r="B76" s="5">
        <f>Trials!A57</f>
        <v>46144</v>
      </c>
      <c r="C76" s="6" t="str">
        <f>Trials!C57</f>
        <v>Lehigh Valley Coursing Club</v>
      </c>
      <c r="D76" s="6" t="str">
        <f>Trials!D57</f>
        <v>Lambertville</v>
      </c>
      <c r="E76" s="6" t="str">
        <f>Trials!E57</f>
        <v>NJ</v>
      </c>
      <c r="F76" s="6">
        <f>Trials!H57</f>
        <v>26</v>
      </c>
      <c r="G76" s="6">
        <f>Trials!I57</f>
        <v>26</v>
      </c>
      <c r="H76" s="6">
        <f>IF(Trials!J57="","",Trials!J57)</f>
        <v>2</v>
      </c>
    </row>
    <row r="77" ht="15.75" customHeight="1">
      <c r="A77" s="6">
        <f t="shared" si="1"/>
        <v>72</v>
      </c>
      <c r="B77" s="5">
        <f>Trials!A113</f>
        <v>46215</v>
      </c>
      <c r="C77" s="6" t="str">
        <f>Trials!C113</f>
        <v>Pharaoh Hound Club of America</v>
      </c>
      <c r="D77" s="6" t="str">
        <f>Trials!D113</f>
        <v>Bennett</v>
      </c>
      <c r="E77" s="6" t="str">
        <f>Trials!E113</f>
        <v>CO</v>
      </c>
      <c r="F77" s="6">
        <f>Trials!H113</f>
        <v>26</v>
      </c>
      <c r="G77" s="6">
        <f>Trials!I113</f>
        <v>24</v>
      </c>
      <c r="H77" s="6">
        <f>IF(Trials!J113="","",Trials!J113)</f>
        <v>0</v>
      </c>
    </row>
    <row r="78" ht="15.75" customHeight="1">
      <c r="A78" s="6">
        <f t="shared" si="1"/>
        <v>74</v>
      </c>
      <c r="B78" s="5">
        <f>Trials!A62</f>
        <v>46151</v>
      </c>
      <c r="C78" s="6" t="str">
        <f>Trials!C62</f>
        <v>Rocky Mountain Hound Association of Colorado</v>
      </c>
      <c r="D78" s="6" t="str">
        <f>Trials!D62</f>
        <v>Peyton</v>
      </c>
      <c r="E78" s="6" t="str">
        <f>Trials!E62</f>
        <v>CO</v>
      </c>
      <c r="F78" s="6">
        <f>Trials!H62</f>
        <v>25</v>
      </c>
      <c r="G78" s="6">
        <f>Trials!I62</f>
        <v>24</v>
      </c>
      <c r="H78" s="6">
        <f>IF(Trials!J62="","",Trials!J62)</f>
        <v>8</v>
      </c>
    </row>
    <row r="79" ht="15.75" customHeight="1">
      <c r="A79" s="6">
        <f t="shared" si="1"/>
        <v>75</v>
      </c>
      <c r="B79" s="5">
        <f>Trials!A7</f>
        <v>46039</v>
      </c>
      <c r="C79" s="6" t="str">
        <f>Trials!C7</f>
        <v>Afghan Hound Club of Dallas</v>
      </c>
      <c r="D79" s="6" t="str">
        <f>Trials!D7</f>
        <v>Celina</v>
      </c>
      <c r="E79" s="6" t="str">
        <f>Trials!E7</f>
        <v>TX</v>
      </c>
      <c r="F79" s="6">
        <f>Trials!H7</f>
        <v>24</v>
      </c>
      <c r="G79" s="6">
        <f>Trials!I7</f>
        <v>23</v>
      </c>
      <c r="H79" s="6">
        <f>IF(Trials!J7="","",Trials!J7)</f>
        <v>5</v>
      </c>
    </row>
    <row r="80" ht="15.75" customHeight="1">
      <c r="A80" s="6">
        <f t="shared" si="1"/>
        <v>75</v>
      </c>
      <c r="B80" s="5">
        <f>Trials!A12</f>
        <v>46067</v>
      </c>
      <c r="C80" s="6" t="str">
        <f>Trials!C12</f>
        <v>Orange Coast Rhodesian Ridgeback Club</v>
      </c>
      <c r="D80" s="6" t="str">
        <f>Trials!D12</f>
        <v>Chino</v>
      </c>
      <c r="E80" s="6" t="str">
        <f>Trials!E12</f>
        <v>CA</v>
      </c>
      <c r="F80" s="6">
        <f>Trials!H12</f>
        <v>24</v>
      </c>
      <c r="G80" s="6">
        <f>Trials!I12</f>
        <v>24</v>
      </c>
      <c r="H80" s="6">
        <f>IF(Trials!J12="","",Trials!J12)</f>
        <v>4</v>
      </c>
    </row>
    <row r="81" ht="15.75" customHeight="1">
      <c r="A81" s="6">
        <f t="shared" si="1"/>
        <v>75</v>
      </c>
      <c r="B81" s="5">
        <f>Trials!A23</f>
        <v>46089</v>
      </c>
      <c r="C81" s="6" t="str">
        <f>Trials!C23</f>
        <v>Arizona Rhodesian Ridgeback Club</v>
      </c>
      <c r="D81" s="6" t="str">
        <f>Trials!D23</f>
        <v>Tonopah</v>
      </c>
      <c r="E81" s="6" t="str">
        <f>Trials!E23</f>
        <v>AZ</v>
      </c>
      <c r="F81" s="6">
        <f>Trials!H23</f>
        <v>24</v>
      </c>
      <c r="G81" s="6">
        <f>Trials!I23</f>
        <v>24</v>
      </c>
      <c r="H81" s="6">
        <f>IF(Trials!J23="","",Trials!J23)</f>
        <v>4</v>
      </c>
    </row>
    <row r="82" ht="15.75" customHeight="1">
      <c r="A82" s="6">
        <f t="shared" si="1"/>
        <v>75</v>
      </c>
      <c r="B82" s="5">
        <f>Trials!A59</f>
        <v>46145</v>
      </c>
      <c r="C82" s="6" t="str">
        <f>Trials!C59</f>
        <v>Lehigh Valley Coursing Club</v>
      </c>
      <c r="D82" s="6" t="str">
        <f>Trials!D59</f>
        <v>Lambertville</v>
      </c>
      <c r="E82" s="6" t="str">
        <f>Trials!E59</f>
        <v>NJ</v>
      </c>
      <c r="F82" s="6">
        <f>Trials!H59</f>
        <v>24</v>
      </c>
      <c r="G82" s="6">
        <f>Trials!I59</f>
        <v>24</v>
      </c>
      <c r="H82" s="6">
        <f>IF(Trials!J59="","",Trials!J59)</f>
        <v>2</v>
      </c>
    </row>
    <row r="83" ht="15.75" customHeight="1">
      <c r="A83" s="6">
        <f t="shared" si="1"/>
        <v>75</v>
      </c>
      <c r="B83" s="5">
        <f>Trials!A118</f>
        <v>46235</v>
      </c>
      <c r="C83" s="6" t="str">
        <f>Trials!C118</f>
        <v>Copper State Basenji Club</v>
      </c>
      <c r="D83" s="6" t="str">
        <f>Trials!D118</f>
        <v>Lakeside</v>
      </c>
      <c r="E83" s="6" t="str">
        <f>Trials!E118</f>
        <v>AZ</v>
      </c>
      <c r="F83" s="6">
        <f>Trials!H118</f>
        <v>24</v>
      </c>
      <c r="G83" s="6">
        <f>Trials!I118</f>
        <v>24</v>
      </c>
      <c r="H83" s="6">
        <f>IF(Trials!J118="","",Trials!J118)</f>
        <v>7</v>
      </c>
    </row>
    <row r="84" ht="15.75" customHeight="1">
      <c r="A84" s="6">
        <f t="shared" si="1"/>
        <v>80</v>
      </c>
      <c r="B84" s="5">
        <f>Trials!A86</f>
        <v>46172</v>
      </c>
      <c r="C84" s="6" t="str">
        <f>Trials!C86</f>
        <v>California Coursing Association</v>
      </c>
      <c r="D84" s="6" t="str">
        <f>Trials!D86</f>
        <v>Chino</v>
      </c>
      <c r="E84" s="6" t="str">
        <f>Trials!E86</f>
        <v>CA</v>
      </c>
      <c r="F84" s="6">
        <f>Trials!H86</f>
        <v>22</v>
      </c>
      <c r="G84" s="6">
        <f>Trials!I86</f>
        <v>22</v>
      </c>
      <c r="H84" s="6">
        <f>IF(Trials!J86="","",Trials!J86)</f>
        <v>7</v>
      </c>
    </row>
    <row r="85" ht="15.75" customHeight="1">
      <c r="A85" s="6">
        <f t="shared" si="1"/>
        <v>80</v>
      </c>
      <c r="B85" s="5">
        <f>Trials!A89</f>
        <v>46173</v>
      </c>
      <c r="C85" s="6" t="str">
        <f>Trials!C89</f>
        <v>California Coursing Association</v>
      </c>
      <c r="D85" s="6" t="str">
        <f>Trials!D89</f>
        <v>Chino</v>
      </c>
      <c r="E85" s="6" t="str">
        <f>Trials!E89</f>
        <v>CA</v>
      </c>
      <c r="F85" s="6">
        <f>Trials!H89</f>
        <v>22</v>
      </c>
      <c r="G85" s="6">
        <f>Trials!I89</f>
        <v>22</v>
      </c>
      <c r="H85" s="6">
        <f>IF(Trials!J89="","",Trials!J89)</f>
        <v>3</v>
      </c>
    </row>
    <row r="86" ht="15.75" customHeight="1">
      <c r="A86" s="6">
        <f t="shared" si="1"/>
        <v>80</v>
      </c>
      <c r="B86" s="5">
        <f>Trials!A92</f>
        <v>46179</v>
      </c>
      <c r="C86" s="6" t="str">
        <f>Trials!C92</f>
        <v>Lehigh Valley Coursing Club</v>
      </c>
      <c r="D86" s="6" t="str">
        <f>Trials!D92</f>
        <v>Lambertville</v>
      </c>
      <c r="E86" s="6" t="str">
        <f>Trials!E92</f>
        <v>NJ</v>
      </c>
      <c r="F86" s="6">
        <f>Trials!H92</f>
        <v>22</v>
      </c>
      <c r="G86" s="6">
        <f>Trials!I92</f>
        <v>22</v>
      </c>
      <c r="H86" s="6">
        <f>IF(Trials!J92="","",Trials!J92)</f>
        <v>5</v>
      </c>
    </row>
    <row r="87" ht="15.75" customHeight="1">
      <c r="A87" s="6">
        <f t="shared" si="1"/>
        <v>80</v>
      </c>
      <c r="B87" s="5">
        <f>Trials!A94</f>
        <v>46180</v>
      </c>
      <c r="C87" s="6" t="str">
        <f>Trials!C94</f>
        <v>Lehigh Valley Coursing Club</v>
      </c>
      <c r="D87" s="6" t="str">
        <f>Trials!D94</f>
        <v>Lambertville</v>
      </c>
      <c r="E87" s="6" t="str">
        <f>Trials!E94</f>
        <v>NJ</v>
      </c>
      <c r="F87" s="6">
        <f>Trials!H94</f>
        <v>22</v>
      </c>
      <c r="G87" s="6">
        <f>Trials!I94</f>
        <v>21</v>
      </c>
      <c r="H87" s="6">
        <f>IF(Trials!J94="","",Trials!J94)</f>
        <v>2</v>
      </c>
    </row>
    <row r="88" ht="15.75" customHeight="1">
      <c r="A88" s="6">
        <f t="shared" si="1"/>
        <v>84</v>
      </c>
      <c r="B88" s="5">
        <f>Trials!A61</f>
        <v>46151</v>
      </c>
      <c r="C88" s="6" t="str">
        <f>Trials!C61</f>
        <v>Evergreen Basenji Club</v>
      </c>
      <c r="D88" s="6" t="str">
        <f>Trials!D61</f>
        <v>Roy</v>
      </c>
      <c r="E88" s="6" t="str">
        <f>Trials!E61</f>
        <v>WA</v>
      </c>
      <c r="F88" s="6">
        <f>Trials!H61</f>
        <v>21</v>
      </c>
      <c r="G88" s="6">
        <f>Trials!I61</f>
        <v>21</v>
      </c>
      <c r="H88" s="6">
        <f>IF(Trials!J61="","",Trials!J61)</f>
        <v>7</v>
      </c>
    </row>
    <row r="89" ht="15.75" customHeight="1">
      <c r="A89" s="6">
        <f t="shared" si="1"/>
        <v>84</v>
      </c>
      <c r="B89" s="5">
        <f>Trials!A75</f>
        <v>46159</v>
      </c>
      <c r="C89" s="6" t="str">
        <f>Trials!C75</f>
        <v>Sighthound Organization of Tidewater</v>
      </c>
      <c r="D89" s="6" t="str">
        <f>Trials!D75</f>
        <v>Dendron</v>
      </c>
      <c r="E89" s="6" t="str">
        <f>Trials!E75</f>
        <v>VA</v>
      </c>
      <c r="F89" s="6">
        <f>Trials!H75</f>
        <v>21</v>
      </c>
      <c r="G89" s="6">
        <f>Trials!I75</f>
        <v>18</v>
      </c>
      <c r="H89" s="6">
        <f>IF(Trials!J75="","",Trials!J75)</f>
        <v>5</v>
      </c>
    </row>
    <row r="90" ht="15.75" customHeight="1">
      <c r="A90" s="6">
        <f t="shared" si="1"/>
        <v>86</v>
      </c>
      <c r="B90" s="5">
        <f>Trials!A54</f>
        <v>46137</v>
      </c>
      <c r="C90" s="6" t="str">
        <f>Trials!C54</f>
        <v>Minnesota Coursing Association</v>
      </c>
      <c r="D90" s="6" t="str">
        <f>Trials!D54</f>
        <v>Farmington</v>
      </c>
      <c r="E90" s="6" t="str">
        <f>Trials!E54</f>
        <v>MN</v>
      </c>
      <c r="F90" s="6">
        <f>Trials!H54</f>
        <v>20</v>
      </c>
      <c r="G90" s="6">
        <f>Trials!I54</f>
        <v>20</v>
      </c>
      <c r="H90" s="6">
        <f>IF(Trials!J54="","",Trials!J54)</f>
        <v>5</v>
      </c>
    </row>
    <row r="91" ht="15.75" customHeight="1">
      <c r="A91" s="6">
        <f t="shared" si="1"/>
        <v>86</v>
      </c>
      <c r="B91" s="5">
        <f>Trials!A78</f>
        <v>46159</v>
      </c>
      <c r="C91" s="6" t="str">
        <f>Trials!C78</f>
        <v>Greyhound Club of America</v>
      </c>
      <c r="D91" s="6" t="str">
        <f>Trials!D78</f>
        <v>Hyde Park</v>
      </c>
      <c r="E91" s="6" t="str">
        <f>Trials!E78</f>
        <v>UT</v>
      </c>
      <c r="F91" s="6">
        <f>Trials!H78</f>
        <v>20</v>
      </c>
      <c r="G91" s="6">
        <f>Trials!I78</f>
        <v>20</v>
      </c>
      <c r="H91" s="6">
        <f>IF(Trials!J78="","",Trials!J78)</f>
        <v>0</v>
      </c>
    </row>
    <row r="92" ht="15.75" customHeight="1">
      <c r="A92" s="6">
        <f t="shared" si="1"/>
        <v>86</v>
      </c>
      <c r="B92" s="5">
        <f>Trials!A96</f>
        <v>46186</v>
      </c>
      <c r="C92" s="6" t="str">
        <f>Trials!C96</f>
        <v>Tortoise and Hare Lurecoursers Club</v>
      </c>
      <c r="D92" s="6" t="str">
        <f>Trials!D96</f>
        <v>Littlestown</v>
      </c>
      <c r="E92" s="6" t="str">
        <f>Trials!E96</f>
        <v>PA</v>
      </c>
      <c r="F92" s="6">
        <f>Trials!H96</f>
        <v>20</v>
      </c>
      <c r="G92" s="6">
        <f>Trials!I96</f>
        <v>20</v>
      </c>
      <c r="H92" s="6">
        <f>IF(Trials!J96="","",Trials!J96)</f>
        <v>7</v>
      </c>
    </row>
    <row r="93" ht="15.75" customHeight="1">
      <c r="A93" s="6">
        <f t="shared" si="1"/>
        <v>86</v>
      </c>
      <c r="B93" s="5">
        <f>Trials!A119</f>
        <v>46236</v>
      </c>
      <c r="C93" s="6" t="str">
        <f>Trials!C119</f>
        <v>Copper State Basenji Club</v>
      </c>
      <c r="D93" s="6" t="str">
        <f>Trials!D119</f>
        <v>Lakeside</v>
      </c>
      <c r="E93" s="6" t="str">
        <f>Trials!E119</f>
        <v>AZ</v>
      </c>
      <c r="F93" s="6">
        <f>Trials!H119</f>
        <v>20</v>
      </c>
      <c r="G93" s="6">
        <f>Trials!I119</f>
        <v>20</v>
      </c>
      <c r="H93" s="6">
        <f>IF(Trials!J119="","",Trials!J119)</f>
        <v>6</v>
      </c>
    </row>
    <row r="94" ht="15.75" customHeight="1">
      <c r="A94" s="6">
        <f t="shared" si="1"/>
        <v>90</v>
      </c>
      <c r="B94" s="5">
        <f>Trials!A9</f>
        <v>46040</v>
      </c>
      <c r="C94" s="6" t="str">
        <f>Trials!C9</f>
        <v>North Texas Saluki Club</v>
      </c>
      <c r="D94" s="6" t="str">
        <f>Trials!D9</f>
        <v>Celina</v>
      </c>
      <c r="E94" s="6" t="str">
        <f>Trials!E9</f>
        <v>TX</v>
      </c>
      <c r="F94" s="6">
        <f>Trials!H9</f>
        <v>19</v>
      </c>
      <c r="G94" s="6">
        <f>Trials!I9</f>
        <v>18</v>
      </c>
      <c r="H94" s="6">
        <f>IF(Trials!J9="","",Trials!J9)</f>
        <v>4</v>
      </c>
    </row>
    <row r="95" ht="15.75" customHeight="1">
      <c r="A95" s="6">
        <f t="shared" si="1"/>
        <v>90</v>
      </c>
      <c r="B95" s="5">
        <f>Trials!A13</f>
        <v>46068</v>
      </c>
      <c r="C95" s="6" t="str">
        <f>Trials!C13</f>
        <v>Orange Coast Rhodesian Ridgeback Club</v>
      </c>
      <c r="D95" s="6" t="str">
        <f>Trials!D13</f>
        <v>Chino</v>
      </c>
      <c r="E95" s="6" t="str">
        <f>Trials!E13</f>
        <v>CA</v>
      </c>
      <c r="F95" s="6">
        <f>Trials!H13</f>
        <v>19</v>
      </c>
      <c r="G95" s="6">
        <f>Trials!I13</f>
        <v>19</v>
      </c>
      <c r="H95" s="6">
        <f>IF(Trials!J13="","",Trials!J13)</f>
        <v>4</v>
      </c>
    </row>
    <row r="96" ht="15.75" customHeight="1">
      <c r="A96" s="6">
        <f t="shared" si="1"/>
        <v>90</v>
      </c>
      <c r="B96" s="5">
        <f>Trials!A76</f>
        <v>46159</v>
      </c>
      <c r="C96" s="6" t="str">
        <f>Trials!C76</f>
        <v>Chintimini Kennel Club, Inc.</v>
      </c>
      <c r="D96" s="6" t="str">
        <f>Trials!D76</f>
        <v>Cottage Grove</v>
      </c>
      <c r="E96" s="6" t="str">
        <f>Trials!E76</f>
        <v>OR</v>
      </c>
      <c r="F96" s="6">
        <f>Trials!H76</f>
        <v>19</v>
      </c>
      <c r="G96" s="6">
        <f>Trials!I76</f>
        <v>19</v>
      </c>
      <c r="H96" s="6">
        <f>IF(Trials!J76="","",Trials!J76)</f>
        <v>9</v>
      </c>
    </row>
    <row r="97" ht="15.75" customHeight="1">
      <c r="A97" s="6">
        <f t="shared" si="1"/>
        <v>93</v>
      </c>
      <c r="B97" s="5">
        <f>Trials!A39</f>
        <v>46116</v>
      </c>
      <c r="C97" s="6" t="str">
        <f>Trials!C39</f>
        <v>Irish Wolfhound Association of the Garden State</v>
      </c>
      <c r="D97" s="6" t="str">
        <f>Trials!D39</f>
        <v>Somerset</v>
      </c>
      <c r="E97" s="6" t="str">
        <f>Trials!E39</f>
        <v>NJ</v>
      </c>
      <c r="F97" s="6">
        <f>Trials!H39</f>
        <v>18</v>
      </c>
      <c r="G97" s="6">
        <f>Trials!I39</f>
        <v>18</v>
      </c>
      <c r="H97" s="6">
        <f>IF(Trials!J39="","",Trials!J39)</f>
        <v>8</v>
      </c>
    </row>
    <row r="98" ht="15.75" customHeight="1">
      <c r="A98" s="6">
        <f t="shared" si="1"/>
        <v>93</v>
      </c>
      <c r="B98" s="5">
        <f>Trials!A55</f>
        <v>46138</v>
      </c>
      <c r="C98" s="6" t="str">
        <f>Trials!C55</f>
        <v>Minnesota Coursing Association</v>
      </c>
      <c r="D98" s="6" t="str">
        <f>Trials!D55</f>
        <v>Farmington</v>
      </c>
      <c r="E98" s="6" t="str">
        <f>Trials!E55</f>
        <v>MN</v>
      </c>
      <c r="F98" s="6">
        <f>Trials!H55</f>
        <v>18</v>
      </c>
      <c r="G98" s="6">
        <f>Trials!I55</f>
        <v>18</v>
      </c>
      <c r="H98" s="6">
        <f>IF(Trials!J55="","",Trials!J55)</f>
        <v>7</v>
      </c>
    </row>
    <row r="99" ht="15.75" customHeight="1">
      <c r="A99" s="6">
        <f t="shared" si="1"/>
        <v>95</v>
      </c>
      <c r="B99" s="5">
        <f>Trials!A104</f>
        <v>46199</v>
      </c>
      <c r="C99" s="6" t="str">
        <f>Trials!C104</f>
        <v>Basenji Club of America, Inc.</v>
      </c>
      <c r="D99" s="6" t="str">
        <f>Trials!D104</f>
        <v>Williamston</v>
      </c>
      <c r="E99" s="6" t="str">
        <f>Trials!E104</f>
        <v>MI</v>
      </c>
      <c r="F99" s="6">
        <f>Trials!H104</f>
        <v>17</v>
      </c>
      <c r="G99" s="6">
        <f>Trials!I104</f>
        <v>16</v>
      </c>
      <c r="H99" s="6" t="str">
        <f>IF(Trials!J104="","",Trials!J104)</f>
        <v/>
      </c>
    </row>
    <row r="100" ht="15.75" customHeight="1">
      <c r="A100" s="6">
        <f t="shared" si="1"/>
        <v>96</v>
      </c>
      <c r="B100" s="5">
        <f>Trials!A56</f>
        <v>46144</v>
      </c>
      <c r="C100" s="6" t="str">
        <f>Trials!C56</f>
        <v>Gulf Coast Hound Club</v>
      </c>
      <c r="D100" s="6" t="str">
        <f>Trials!D56</f>
        <v>Semmes</v>
      </c>
      <c r="E100" s="6" t="str">
        <f>Trials!E56</f>
        <v>AL</v>
      </c>
      <c r="F100" s="6">
        <f>Trials!H56</f>
        <v>16</v>
      </c>
      <c r="G100" s="6">
        <f>Trials!I56</f>
        <v>16</v>
      </c>
      <c r="H100" s="6">
        <f>IF(Trials!J56="","",Trials!J56)</f>
        <v>7</v>
      </c>
    </row>
    <row r="101" ht="15.75" customHeight="1">
      <c r="A101" s="6">
        <f t="shared" si="1"/>
        <v>96</v>
      </c>
      <c r="B101" s="5">
        <f>Trials!A58</f>
        <v>46145</v>
      </c>
      <c r="C101" s="6" t="str">
        <f>Trials!C58</f>
        <v>Gulf Coast Hound Club</v>
      </c>
      <c r="D101" s="6" t="str">
        <f>Trials!D58</f>
        <v>Semmes</v>
      </c>
      <c r="E101" s="6" t="str">
        <f>Trials!E58</f>
        <v>AL</v>
      </c>
      <c r="F101" s="6">
        <f>Trials!H58</f>
        <v>16</v>
      </c>
      <c r="G101" s="6">
        <f>Trials!I58</f>
        <v>16</v>
      </c>
      <c r="H101" s="6">
        <f>IF(Trials!J58="","",Trials!J58)</f>
        <v>9</v>
      </c>
    </row>
    <row r="102" ht="15.75" customHeight="1">
      <c r="A102" s="6">
        <f t="shared" si="1"/>
        <v>96</v>
      </c>
      <c r="B102" s="5">
        <f>Trials!A63</f>
        <v>46151</v>
      </c>
      <c r="C102" s="6" t="str">
        <f>Trials!C63</f>
        <v>Oklahoma Racing and Coursing Association</v>
      </c>
      <c r="D102" s="6" t="str">
        <f>Trials!D63</f>
        <v>Vinita</v>
      </c>
      <c r="E102" s="6" t="str">
        <f>Trials!E63</f>
        <v>OK</v>
      </c>
      <c r="F102" s="6">
        <f>Trials!H63</f>
        <v>16</v>
      </c>
      <c r="G102" s="6">
        <f>Trials!I63</f>
        <v>16</v>
      </c>
      <c r="H102" s="6" t="str">
        <f>IF(Trials!J63="","",Trials!J63)</f>
        <v/>
      </c>
    </row>
    <row r="103" ht="15.75" customHeight="1">
      <c r="A103" s="6">
        <f t="shared" si="1"/>
        <v>99</v>
      </c>
      <c r="B103" s="5">
        <f>Trials!A51</f>
        <v>46130</v>
      </c>
      <c r="C103" s="6" t="str">
        <f>Trials!C51</f>
        <v>Utah Sighthound Racing and Coursing Club</v>
      </c>
      <c r="D103" s="6" t="str">
        <f>Trials!D51</f>
        <v>South Jordan</v>
      </c>
      <c r="E103" s="6" t="str">
        <f>Trials!E51</f>
        <v>UT</v>
      </c>
      <c r="F103" s="6">
        <f>Trials!H51</f>
        <v>15</v>
      </c>
      <c r="G103" s="6">
        <f>Trials!I51</f>
        <v>15</v>
      </c>
      <c r="H103" s="6">
        <f>IF(Trials!J51="","",Trials!J51)</f>
        <v>1</v>
      </c>
    </row>
    <row r="104" ht="15.75" customHeight="1">
      <c r="A104" s="6">
        <f t="shared" si="1"/>
        <v>99</v>
      </c>
      <c r="B104" s="5">
        <f>Trials!A66</f>
        <v>46152</v>
      </c>
      <c r="C104" s="6" t="str">
        <f>Trials!C66</f>
        <v>Rocky Mountain Hound Association of Colorado</v>
      </c>
      <c r="D104" s="6" t="str">
        <f>Trials!D66</f>
        <v>Peyton</v>
      </c>
      <c r="E104" s="6" t="str">
        <f>Trials!E66</f>
        <v>CO</v>
      </c>
      <c r="F104" s="6">
        <f>Trials!H66</f>
        <v>15</v>
      </c>
      <c r="G104" s="6">
        <f>Trials!I66</f>
        <v>15</v>
      </c>
      <c r="H104" s="6">
        <f>IF(Trials!J66="","",Trials!J66)</f>
        <v>7</v>
      </c>
    </row>
    <row r="105" ht="15.75" customHeight="1">
      <c r="A105" s="6">
        <f t="shared" si="1"/>
        <v>101</v>
      </c>
      <c r="B105" s="5">
        <f>Trials!A99</f>
        <v>46193</v>
      </c>
      <c r="C105" s="6" t="str">
        <f>Trials!C99</f>
        <v>Midwest Coursing Club of Wisconsin</v>
      </c>
      <c r="D105" s="6" t="str">
        <f>Trials!D99</f>
        <v>Caledonia</v>
      </c>
      <c r="E105" s="6" t="str">
        <f>Trials!E99</f>
        <v>WI</v>
      </c>
      <c r="F105" s="6">
        <f>Trials!H99</f>
        <v>14</v>
      </c>
      <c r="G105" s="6">
        <f>Trials!I99</f>
        <v>14</v>
      </c>
      <c r="H105" s="6">
        <f>IF(Trials!J99="","",Trials!J99)</f>
        <v>10</v>
      </c>
    </row>
    <row r="106" ht="15.75" customHeight="1">
      <c r="A106" s="6">
        <f t="shared" si="1"/>
        <v>102</v>
      </c>
      <c r="B106" s="5">
        <f>Trials!A26</f>
        <v>46102</v>
      </c>
      <c r="C106" s="6" t="str">
        <f>Trials!C26</f>
        <v>Lobo Lure Coursing Club</v>
      </c>
      <c r="D106" s="6" t="str">
        <f>Trials!D26</f>
        <v>Santa Fe</v>
      </c>
      <c r="E106" s="6" t="str">
        <f>Trials!E26</f>
        <v>NM</v>
      </c>
      <c r="F106" s="6">
        <f>Trials!H26</f>
        <v>13</v>
      </c>
      <c r="G106" s="6">
        <f>Trials!I26</f>
        <v>13</v>
      </c>
      <c r="H106" s="6">
        <f>IF(Trials!J26="","",Trials!J26)</f>
        <v>5</v>
      </c>
    </row>
    <row r="107" ht="15.75" customHeight="1">
      <c r="A107" s="6">
        <f t="shared" si="1"/>
        <v>102</v>
      </c>
      <c r="B107" s="5">
        <f>Trials!A41</f>
        <v>46117</v>
      </c>
      <c r="C107" s="6" t="str">
        <f>Trials!C41</f>
        <v>Irish Wolfhound Association of the Garden State</v>
      </c>
      <c r="D107" s="6" t="str">
        <f>Trials!D41</f>
        <v>Somerset</v>
      </c>
      <c r="E107" s="6" t="str">
        <f>Trials!E41</f>
        <v>NJ</v>
      </c>
      <c r="F107" s="6">
        <f>Trials!H41</f>
        <v>13</v>
      </c>
      <c r="G107" s="6">
        <f>Trials!I41</f>
        <v>13</v>
      </c>
      <c r="H107" s="6">
        <f>IF(Trials!J41="","",Trials!J41)</f>
        <v>2</v>
      </c>
    </row>
    <row r="108" ht="15.75" customHeight="1">
      <c r="A108" s="6">
        <f t="shared" si="1"/>
        <v>102</v>
      </c>
      <c r="B108" s="5">
        <f>Trials!A60</f>
        <v>46151</v>
      </c>
      <c r="C108" s="6" t="str">
        <f>Trials!C60</f>
        <v>Scottish Deerhound Club of America, Inc.</v>
      </c>
      <c r="D108" s="6" t="str">
        <f>Trials!D60</f>
        <v>Rockwood</v>
      </c>
      <c r="E108" s="6" t="str">
        <f>Trials!E60</f>
        <v>PA</v>
      </c>
      <c r="F108" s="6">
        <f>Trials!H60</f>
        <v>13</v>
      </c>
      <c r="G108" s="6">
        <f>Trials!I60</f>
        <v>13</v>
      </c>
      <c r="H108" s="6">
        <f>IF(Trials!J60="","",Trials!J60)</f>
        <v>4</v>
      </c>
    </row>
    <row r="109" ht="15.75" customHeight="1">
      <c r="A109" s="6">
        <f t="shared" si="1"/>
        <v>102</v>
      </c>
      <c r="B109" s="5">
        <f>Trials!A69</f>
        <v>46158</v>
      </c>
      <c r="C109" s="6" t="str">
        <f>Trials!C69</f>
        <v>Chintimini Kennel Club, Inc.</v>
      </c>
      <c r="D109" s="6" t="str">
        <f>Trials!D69</f>
        <v>Cottage Grove</v>
      </c>
      <c r="E109" s="6" t="str">
        <f>Trials!E69</f>
        <v>OR</v>
      </c>
      <c r="F109" s="6">
        <f>Trials!H69</f>
        <v>13</v>
      </c>
      <c r="G109" s="6">
        <f>Trials!I69</f>
        <v>13</v>
      </c>
      <c r="H109" s="6">
        <f>IF(Trials!J69="","",Trials!J69)</f>
        <v>6</v>
      </c>
    </row>
    <row r="110" ht="15.75" customHeight="1">
      <c r="A110" s="6">
        <f t="shared" si="1"/>
        <v>102</v>
      </c>
      <c r="B110" s="5">
        <f>Trials!A97</f>
        <v>46187</v>
      </c>
      <c r="C110" s="6" t="str">
        <f>Trials!C97</f>
        <v>Tortoise and Hare Lurecoursers Club</v>
      </c>
      <c r="D110" s="6" t="str">
        <f>Trials!D97</f>
        <v>Littlestown</v>
      </c>
      <c r="E110" s="6" t="str">
        <f>Trials!E97</f>
        <v>PA</v>
      </c>
      <c r="F110" s="6">
        <f>Trials!H97</f>
        <v>13</v>
      </c>
      <c r="G110" s="6">
        <f>Trials!I97</f>
        <v>13</v>
      </c>
      <c r="H110" s="6">
        <f>IF(Trials!J97="","",Trials!J97)</f>
        <v>3</v>
      </c>
    </row>
    <row r="111" ht="15.75" customHeight="1">
      <c r="A111" s="6">
        <f t="shared" si="1"/>
        <v>102</v>
      </c>
      <c r="B111" s="5">
        <f>Trials!A102</f>
        <v>46199</v>
      </c>
      <c r="C111" s="6" t="str">
        <f>Trials!C102</f>
        <v>Ibizan Hound Club of the United States</v>
      </c>
      <c r="D111" s="6" t="str">
        <f>Trials!D102</f>
        <v>Williamston</v>
      </c>
      <c r="E111" s="6" t="str">
        <f>Trials!E102</f>
        <v>MI</v>
      </c>
      <c r="F111" s="6">
        <f>Trials!H102</f>
        <v>13</v>
      </c>
      <c r="G111" s="6">
        <f>Trials!I102</f>
        <v>13</v>
      </c>
      <c r="H111" s="6" t="str">
        <f>IF(Trials!J102="","",Trials!J102)</f>
        <v/>
      </c>
    </row>
    <row r="112" ht="15.75" customHeight="1">
      <c r="A112" s="6">
        <f t="shared" si="1"/>
        <v>108</v>
      </c>
      <c r="B112" s="5">
        <f>Trials!A52</f>
        <v>46131</v>
      </c>
      <c r="C112" s="6" t="str">
        <f>Trials!C52</f>
        <v>Utah Sighthound Racing and Coursing Club</v>
      </c>
      <c r="D112" s="6" t="str">
        <f>Trials!D52</f>
        <v>South Jordan</v>
      </c>
      <c r="E112" s="6" t="str">
        <f>Trials!E52</f>
        <v>UT</v>
      </c>
      <c r="F112" s="6">
        <f>Trials!H52</f>
        <v>12</v>
      </c>
      <c r="G112" s="6">
        <f>Trials!I52</f>
        <v>12</v>
      </c>
      <c r="H112" s="6">
        <f>IF(Trials!J52="","",Trials!J52)</f>
        <v>4</v>
      </c>
    </row>
    <row r="113" ht="15.75" customHeight="1">
      <c r="A113" s="6">
        <f t="shared" si="1"/>
        <v>109</v>
      </c>
      <c r="B113" s="5">
        <f>Trials!A28</f>
        <v>46103</v>
      </c>
      <c r="C113" s="6" t="str">
        <f>Trials!C28</f>
        <v>Lobo Lure Coursing Club</v>
      </c>
      <c r="D113" s="6" t="str">
        <f>Trials!D28</f>
        <v>Santa Fe</v>
      </c>
      <c r="E113" s="6" t="str">
        <f>Trials!E28</f>
        <v>NM</v>
      </c>
      <c r="F113" s="6">
        <f>Trials!H28</f>
        <v>11</v>
      </c>
      <c r="G113" s="6">
        <f>Trials!I28</f>
        <v>10</v>
      </c>
      <c r="H113" s="6">
        <f>IF(Trials!J28="","",Trials!J28)</f>
        <v>3</v>
      </c>
    </row>
    <row r="114" ht="15.75" customHeight="1">
      <c r="A114" s="6">
        <f t="shared" si="1"/>
        <v>109</v>
      </c>
      <c r="B114" s="5">
        <f>Trials!A65</f>
        <v>46152</v>
      </c>
      <c r="C114" s="6" t="str">
        <f>Trials!C65</f>
        <v>Oklahoma Racing and Coursing Association</v>
      </c>
      <c r="D114" s="6" t="str">
        <f>Trials!D65</f>
        <v>Vinita</v>
      </c>
      <c r="E114" s="6" t="str">
        <f>Trials!E65</f>
        <v>OK</v>
      </c>
      <c r="F114" s="6">
        <f>Trials!H65</f>
        <v>11</v>
      </c>
      <c r="G114" s="6">
        <f>Trials!I65</f>
        <v>11</v>
      </c>
      <c r="H114" s="6" t="str">
        <f>IF(Trials!J65="","",Trials!J65)</f>
        <v/>
      </c>
    </row>
    <row r="115" ht="15.75" customHeight="1">
      <c r="A115" s="6">
        <f t="shared" si="1"/>
        <v>109</v>
      </c>
      <c r="B115" s="5">
        <f>Trials!A79</f>
        <v>46159</v>
      </c>
      <c r="C115" s="6" t="str">
        <f>Trials!C79</f>
        <v>Southern California Ibizan Hound Club</v>
      </c>
      <c r="D115" s="6" t="str">
        <f>Trials!D79</f>
        <v>Helena</v>
      </c>
      <c r="E115" s="6" t="str">
        <f>Trials!E79</f>
        <v>MT</v>
      </c>
      <c r="F115" s="6">
        <f>Trials!H79</f>
        <v>11</v>
      </c>
      <c r="G115" s="6">
        <f>Trials!I79</f>
        <v>11</v>
      </c>
      <c r="H115" s="6">
        <f>IF(Trials!J79="","",Trials!J79)</f>
        <v>2</v>
      </c>
    </row>
    <row r="116" ht="15.75" customHeight="1">
      <c r="A116" s="6">
        <f t="shared" si="1"/>
        <v>109</v>
      </c>
      <c r="B116" s="5">
        <f>Trials!A101</f>
        <v>46194</v>
      </c>
      <c r="C116" s="6" t="str">
        <f>Trials!C101</f>
        <v>Midwest Coursing Club of Wisconsin</v>
      </c>
      <c r="D116" s="6" t="str">
        <f>Trials!D101</f>
        <v>Caledonia</v>
      </c>
      <c r="E116" s="6" t="str">
        <f>Trials!E101</f>
        <v>WI</v>
      </c>
      <c r="F116" s="6">
        <f>Trials!H101</f>
        <v>11</v>
      </c>
      <c r="G116" s="6">
        <f>Trials!I101</f>
        <v>11</v>
      </c>
      <c r="H116" s="6">
        <f>IF(Trials!J101="","",Trials!J101)</f>
        <v>10</v>
      </c>
    </row>
    <row r="117" ht="15.75" customHeight="1">
      <c r="A117" s="6">
        <f t="shared" si="1"/>
        <v>113</v>
      </c>
      <c r="B117" s="5">
        <f>Trials!A116</f>
        <v>46221</v>
      </c>
      <c r="C117" s="6" t="str">
        <f>Trials!C116</f>
        <v>Alaska Hound Group Association</v>
      </c>
      <c r="D117" s="6" t="str">
        <f>Trials!D116</f>
        <v>Palmer</v>
      </c>
      <c r="E117" s="6" t="str">
        <f>Trials!E116</f>
        <v>AK</v>
      </c>
      <c r="F117" s="6">
        <f>Trials!H116</f>
        <v>10</v>
      </c>
      <c r="G117" s="6">
        <f>Trials!I116</f>
        <v>10</v>
      </c>
      <c r="H117" s="6">
        <f>IF(Trials!J116="","",Trials!J116)</f>
        <v>0</v>
      </c>
    </row>
    <row r="118" ht="15.75" customHeight="1">
      <c r="A118" s="6">
        <f t="shared" si="1"/>
        <v>114</v>
      </c>
      <c r="B118" s="5">
        <f>Trials!A107</f>
        <v>46200</v>
      </c>
      <c r="C118" s="6" t="str">
        <f>Trials!C107</f>
        <v>Irish Wolfhound Association of Lake Erie</v>
      </c>
      <c r="D118" s="6" t="str">
        <f>Trials!D107</f>
        <v>Fredonia</v>
      </c>
      <c r="E118" s="6" t="str">
        <f>Trials!E107</f>
        <v>NY</v>
      </c>
      <c r="F118" s="6">
        <f>Trials!H107</f>
        <v>9</v>
      </c>
      <c r="G118" s="6">
        <f>Trials!I107</f>
        <v>9</v>
      </c>
      <c r="H118" s="6">
        <f>IF(Trials!J107="","",Trials!J107)</f>
        <v>3</v>
      </c>
    </row>
    <row r="119" ht="15.75" customHeight="1">
      <c r="A119" s="6">
        <f t="shared" si="1"/>
        <v>114</v>
      </c>
      <c r="B119" s="5">
        <f>Trials!A115</f>
        <v>46220</v>
      </c>
      <c r="C119" s="6" t="str">
        <f>Trials!C115</f>
        <v>Alaska Hound Group Association</v>
      </c>
      <c r="D119" s="6" t="str">
        <f>Trials!D115</f>
        <v>Palmer</v>
      </c>
      <c r="E119" s="6" t="str">
        <f>Trials!E115</f>
        <v>AK</v>
      </c>
      <c r="F119" s="6">
        <f>Trials!H115</f>
        <v>9</v>
      </c>
      <c r="G119" s="6">
        <f>Trials!I115</f>
        <v>9</v>
      </c>
      <c r="H119" s="6">
        <f>IF(Trials!J115="","",Trials!J115)</f>
        <v>1</v>
      </c>
    </row>
    <row r="120" ht="15.75" customHeight="1">
      <c r="A120" s="6">
        <f t="shared" si="1"/>
        <v>116</v>
      </c>
      <c r="B120" s="5">
        <f>Trials!A72</f>
        <v>46158</v>
      </c>
      <c r="C120" s="6" t="str">
        <f>Trials!C72</f>
        <v>Southern California Ibizan Hound Club</v>
      </c>
      <c r="D120" s="6" t="str">
        <f>Trials!D72</f>
        <v>Helena</v>
      </c>
      <c r="E120" s="6" t="str">
        <f>Trials!E72</f>
        <v>MT</v>
      </c>
      <c r="F120" s="6">
        <f>Trials!H72</f>
        <v>8</v>
      </c>
      <c r="G120" s="6">
        <f>Trials!I72</f>
        <v>8</v>
      </c>
      <c r="H120" s="6">
        <f>IF(Trials!J72="","",Trials!J72)</f>
        <v>7</v>
      </c>
    </row>
    <row r="121" ht="15.75" customHeight="1">
      <c r="A121" s="6">
        <f t="shared" si="1"/>
        <v>116</v>
      </c>
      <c r="B121" s="5">
        <f>Trials!A88</f>
        <v>46173</v>
      </c>
      <c r="C121" s="6" t="str">
        <f>Trials!C88</f>
        <v>Alaska Hound Group Association</v>
      </c>
      <c r="D121" s="6" t="str">
        <f>Trials!D88</f>
        <v>Palmer</v>
      </c>
      <c r="E121" s="6" t="str">
        <f>Trials!E88</f>
        <v>AK</v>
      </c>
      <c r="F121" s="6">
        <f>Trials!H88</f>
        <v>8</v>
      </c>
      <c r="G121" s="6">
        <f>Trials!I88</f>
        <v>8</v>
      </c>
      <c r="H121" s="6">
        <f>IF(Trials!J88="","",Trials!J88)</f>
        <v>0</v>
      </c>
    </row>
    <row r="122" ht="15.75" customHeight="1">
      <c r="A122" s="6">
        <f t="shared" si="1"/>
        <v>116</v>
      </c>
      <c r="B122" s="5">
        <f>Trials!A117</f>
        <v>46222</v>
      </c>
      <c r="C122" s="6" t="str">
        <f>Trials!C117</f>
        <v>Alaska Hound Group Association</v>
      </c>
      <c r="D122" s="6" t="str">
        <f>Trials!D117</f>
        <v>Palmer</v>
      </c>
      <c r="E122" s="6" t="str">
        <f>Trials!E117</f>
        <v>AK</v>
      </c>
      <c r="F122" s="6">
        <f>Trials!H117</f>
        <v>8</v>
      </c>
      <c r="G122" s="6">
        <f>Trials!I117</f>
        <v>8</v>
      </c>
      <c r="H122" s="6">
        <f>IF(Trials!J117="","",Trials!J117)</f>
        <v>0</v>
      </c>
    </row>
    <row r="123" ht="15.75" customHeight="1">
      <c r="A123" s="6">
        <f t="shared" si="1"/>
        <v>119</v>
      </c>
      <c r="B123" s="5">
        <f>Trials!A77</f>
        <v>46159</v>
      </c>
      <c r="C123" s="6" t="str">
        <f>Trials!C77</f>
        <v>Utah Sighthound Racing and Coursing Club</v>
      </c>
      <c r="D123" s="6" t="str">
        <f>Trials!D77</f>
        <v>Hyde Park</v>
      </c>
      <c r="E123" s="6" t="str">
        <f>Trials!E77</f>
        <v>UT</v>
      </c>
      <c r="F123" s="6">
        <f>Trials!H77</f>
        <v>7</v>
      </c>
      <c r="G123" s="6">
        <f>Trials!I77</f>
        <v>6</v>
      </c>
      <c r="H123" s="6" t="str">
        <f>IF(Trials!J77="","",Trials!J77)</f>
        <v/>
      </c>
    </row>
    <row r="124" ht="15.75" customHeight="1">
      <c r="A124" s="6">
        <f t="shared" si="1"/>
        <v>119</v>
      </c>
      <c r="B124" s="5">
        <f>Trials!A108</f>
        <v>46201</v>
      </c>
      <c r="C124" s="6" t="str">
        <f>Trials!C108</f>
        <v>Irish Wolfhound Association of Lake Erie</v>
      </c>
      <c r="D124" s="6" t="str">
        <f>Trials!D108</f>
        <v>Fredonia</v>
      </c>
      <c r="E124" s="6" t="str">
        <f>Trials!E108</f>
        <v>NY</v>
      </c>
      <c r="F124" s="6">
        <f>Trials!H108</f>
        <v>7</v>
      </c>
      <c r="G124" s="6">
        <f>Trials!I108</f>
        <v>6</v>
      </c>
      <c r="H124" s="6">
        <f>IF(Trials!J108="","",Trials!J108)</f>
        <v>1</v>
      </c>
    </row>
    <row r="125" ht="15.75" customHeight="1">
      <c r="A125" s="6">
        <f t="shared" si="1"/>
        <v>121</v>
      </c>
      <c r="B125" s="5">
        <f>Trials!A87</f>
        <v>46172</v>
      </c>
      <c r="C125" s="6" t="str">
        <f>Trials!C87</f>
        <v>Alaska Hound Group Association</v>
      </c>
      <c r="D125" s="6" t="str">
        <f>Trials!D87</f>
        <v>Palmer</v>
      </c>
      <c r="E125" s="6" t="str">
        <f>Trials!E87</f>
        <v>AK</v>
      </c>
      <c r="F125" s="6">
        <f>Trials!H87</f>
        <v>6</v>
      </c>
      <c r="G125" s="6">
        <f>Trials!I87</f>
        <v>6</v>
      </c>
      <c r="H125" s="6">
        <f>IF(Trials!J87="","",Trials!J87)</f>
        <v>5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50.0"/>
    <col customWidth="1" min="3" max="3" width="9.0"/>
    <col customWidth="1" min="4" max="4" width="11.0"/>
    <col customWidth="1" min="5" max="6" width="10.0"/>
    <col customWidth="1" min="7" max="7" width="11.0"/>
    <col customWidth="1" min="8" max="26" width="8.71"/>
  </cols>
  <sheetData>
    <row r="1">
      <c r="A1" s="1" t="s">
        <v>0</v>
      </c>
    </row>
    <row r="2">
      <c r="A2" s="3" t="s">
        <v>4</v>
      </c>
    </row>
    <row r="4">
      <c r="A4" s="2" t="s">
        <v>9</v>
      </c>
      <c r="B4" s="2" t="s">
        <v>6</v>
      </c>
      <c r="C4" s="2" t="s">
        <v>13</v>
      </c>
      <c r="D4" s="2" t="s">
        <v>12</v>
      </c>
      <c r="E4" s="2" t="s">
        <v>16</v>
      </c>
      <c r="F4" s="2" t="s">
        <v>18</v>
      </c>
      <c r="G4" s="2" t="s">
        <v>20</v>
      </c>
    </row>
    <row r="5">
      <c r="A5" s="6">
        <f t="shared" ref="A5:A55" si="1">RANK(D5,$D$5:$D$55)</f>
        <v>1</v>
      </c>
      <c r="B5" s="6" t="s">
        <v>30</v>
      </c>
      <c r="C5" s="6">
        <f>COUNTIFS(Trials!$C$2:$C$149,B5,Trials!$H$2:$H$149,"&gt;=0")</f>
        <v>4</v>
      </c>
      <c r="D5" s="6">
        <f>SUMIF(Trials!$C$2:$C$149,B5,Trials!$H$2:$H$149)</f>
        <v>264</v>
      </c>
      <c r="E5" s="9">
        <f t="shared" ref="E5:E55" si="2">D5/C5</f>
        <v>66</v>
      </c>
      <c r="F5" s="6">
        <f>SUMPRODUCT(MAX((Trials!$C$2:$C$149=B5)*Trials!$H$2:$H$149))</f>
        <v>77</v>
      </c>
      <c r="G5" s="6">
        <f>SUMIF(Trials!$C$2:$C$149,B5,Trials!$J$2:$J$149)</f>
        <v>39</v>
      </c>
    </row>
    <row r="6">
      <c r="A6" s="6">
        <f t="shared" si="1"/>
        <v>2</v>
      </c>
      <c r="B6" s="6" t="s">
        <v>26</v>
      </c>
      <c r="C6" s="6">
        <f>COUNTIFS(Trials!$C$2:$C$149,B6,Trials!$H$2:$H$149,"&gt;=0")</f>
        <v>6</v>
      </c>
      <c r="D6" s="6">
        <f>SUMIF(Trials!$C$2:$C$149,B6,Trials!$H$2:$H$149)</f>
        <v>244</v>
      </c>
      <c r="E6" s="9">
        <f t="shared" si="2"/>
        <v>40.66666667</v>
      </c>
      <c r="F6" s="6">
        <f>SUMPRODUCT(MAX((Trials!$C$2:$C$149=B6)*Trials!$H$2:$H$149))</f>
        <v>50</v>
      </c>
      <c r="G6" s="6">
        <f>SUMIF(Trials!$C$2:$C$149,B6,Trials!$J$2:$J$149)</f>
        <v>30</v>
      </c>
    </row>
    <row r="7">
      <c r="A7" s="6">
        <f t="shared" si="1"/>
        <v>3</v>
      </c>
      <c r="B7" s="6" t="s">
        <v>49</v>
      </c>
      <c r="C7" s="6">
        <f>COUNTIFS(Trials!$C$2:$C$149,B7,Trials!$H$2:$H$149,"&gt;=0")</f>
        <v>4</v>
      </c>
      <c r="D7" s="6">
        <f>SUMIF(Trials!$C$2:$C$149,B7,Trials!$H$2:$H$149)</f>
        <v>213</v>
      </c>
      <c r="E7" s="9">
        <f t="shared" si="2"/>
        <v>53.25</v>
      </c>
      <c r="F7" s="6">
        <f>SUMPRODUCT(MAX((Trials!$C$2:$C$149=B7)*Trials!$H$2:$H$149))</f>
        <v>73</v>
      </c>
      <c r="G7" s="6">
        <f>SUMIF(Trials!$C$2:$C$149,B7,Trials!$J$2:$J$149)</f>
        <v>17</v>
      </c>
    </row>
    <row r="8">
      <c r="A8" s="6">
        <f t="shared" si="1"/>
        <v>4</v>
      </c>
      <c r="B8" s="6" t="s">
        <v>57</v>
      </c>
      <c r="C8" s="6">
        <f>COUNTIFS(Trials!$C$2:$C$149,B8,Trials!$H$2:$H$149,"&gt;=0")</f>
        <v>6</v>
      </c>
      <c r="D8" s="6">
        <f>SUMIF(Trials!$C$2:$C$149,B8,Trials!$H$2:$H$149)</f>
        <v>207</v>
      </c>
      <c r="E8" s="9">
        <f t="shared" si="2"/>
        <v>34.5</v>
      </c>
      <c r="F8" s="6">
        <f>SUMPRODUCT(MAX((Trials!$C$2:$C$149=B8)*Trials!$H$2:$H$149))</f>
        <v>38</v>
      </c>
      <c r="G8" s="6">
        <f>SUMIF(Trials!$C$2:$C$149,B8,Trials!$J$2:$J$149)</f>
        <v>39</v>
      </c>
    </row>
    <row r="9">
      <c r="A9" s="6">
        <f t="shared" si="1"/>
        <v>5</v>
      </c>
      <c r="B9" s="6" t="s">
        <v>41</v>
      </c>
      <c r="C9" s="6">
        <f>COUNTIFS(Trials!$C$2:$C$149,B9,Trials!$H$2:$H$149,"&gt;=0")</f>
        <v>4</v>
      </c>
      <c r="D9" s="6">
        <f>SUMIF(Trials!$C$2:$C$149,B9,Trials!$H$2:$H$149)</f>
        <v>182</v>
      </c>
      <c r="E9" s="9">
        <f t="shared" si="2"/>
        <v>45.5</v>
      </c>
      <c r="F9" s="6">
        <f>SUMPRODUCT(MAX((Trials!$C$2:$C$149=B9)*Trials!$H$2:$H$149))</f>
        <v>54</v>
      </c>
      <c r="G9" s="6">
        <f>SUMIF(Trials!$C$2:$C$149,B9,Trials!$J$2:$J$149)</f>
        <v>17</v>
      </c>
    </row>
    <row r="10">
      <c r="A10" s="6">
        <f t="shared" si="1"/>
        <v>6</v>
      </c>
      <c r="B10" s="6" t="s">
        <v>60</v>
      </c>
      <c r="C10" s="6">
        <f>COUNTIFS(Trials!$C$2:$C$149,B10,Trials!$H$2:$H$149,"&gt;=0")</f>
        <v>4</v>
      </c>
      <c r="D10" s="6">
        <f>SUMIF(Trials!$C$2:$C$149,B10,Trials!$H$2:$H$149)</f>
        <v>176</v>
      </c>
      <c r="E10" s="9">
        <f t="shared" si="2"/>
        <v>44</v>
      </c>
      <c r="F10" s="6">
        <f>SUMPRODUCT(MAX((Trials!$C$2:$C$149=B10)*Trials!$H$2:$H$149))</f>
        <v>52</v>
      </c>
      <c r="G10" s="6">
        <f>SUMIF(Trials!$C$2:$C$149,B10,Trials!$J$2:$J$149)</f>
        <v>12</v>
      </c>
    </row>
    <row r="11">
      <c r="A11" s="6">
        <f t="shared" si="1"/>
        <v>7</v>
      </c>
      <c r="B11" s="6" t="s">
        <v>63</v>
      </c>
      <c r="C11" s="6">
        <f>COUNTIFS(Trials!$C$2:$C$149,B11,Trials!$H$2:$H$149,"&gt;=0")</f>
        <v>4</v>
      </c>
      <c r="D11" s="6">
        <f>SUMIF(Trials!$C$2:$C$149,B11,Trials!$H$2:$H$149)</f>
        <v>146</v>
      </c>
      <c r="E11" s="9">
        <f t="shared" si="2"/>
        <v>36.5</v>
      </c>
      <c r="F11" s="6">
        <f>SUMPRODUCT(MAX((Trials!$C$2:$C$149=B11)*Trials!$H$2:$H$149))</f>
        <v>49</v>
      </c>
      <c r="G11" s="6">
        <f>SUMIF(Trials!$C$2:$C$149,B11,Trials!$J$2:$J$149)</f>
        <v>39</v>
      </c>
    </row>
    <row r="12">
      <c r="A12" s="6">
        <f t="shared" si="1"/>
        <v>8</v>
      </c>
      <c r="B12" s="6" t="s">
        <v>64</v>
      </c>
      <c r="C12" s="6">
        <f>COUNTIFS(Trials!$C$2:$C$149,B12,Trials!$H$2:$H$149,"&gt;=0")</f>
        <v>2</v>
      </c>
      <c r="D12" s="6">
        <f>SUMIF(Trials!$C$2:$C$149,B12,Trials!$H$2:$H$149)</f>
        <v>131</v>
      </c>
      <c r="E12" s="9">
        <f t="shared" si="2"/>
        <v>65.5</v>
      </c>
      <c r="F12" s="6">
        <f>SUMPRODUCT(MAX((Trials!$C$2:$C$149=B12)*Trials!$H$2:$H$149))</f>
        <v>67</v>
      </c>
      <c r="G12" s="6">
        <f>SUMIF(Trials!$C$2:$C$149,B12,Trials!$J$2:$J$149)</f>
        <v>29</v>
      </c>
    </row>
    <row r="13">
      <c r="A13" s="6">
        <f t="shared" si="1"/>
        <v>9</v>
      </c>
      <c r="B13" s="6" t="s">
        <v>67</v>
      </c>
      <c r="C13" s="6">
        <f>COUNTIFS(Trials!$C$2:$C$149,B13,Trials!$H$2:$H$149,"&gt;=0")</f>
        <v>3</v>
      </c>
      <c r="D13" s="6">
        <f>SUMIF(Trials!$C$2:$C$149,B13,Trials!$H$2:$H$149)</f>
        <v>120</v>
      </c>
      <c r="E13" s="9">
        <f t="shared" si="2"/>
        <v>40</v>
      </c>
      <c r="F13" s="6">
        <f>SUMPRODUCT(MAX((Trials!$C$2:$C$149=B13)*Trials!$H$2:$H$149))</f>
        <v>43</v>
      </c>
      <c r="G13" s="6">
        <f>SUMIF(Trials!$C$2:$C$149,B13,Trials!$J$2:$J$149)</f>
        <v>1</v>
      </c>
    </row>
    <row r="14">
      <c r="A14" s="6">
        <f t="shared" si="1"/>
        <v>9</v>
      </c>
      <c r="B14" s="6" t="s">
        <v>35</v>
      </c>
      <c r="C14" s="6">
        <f>COUNTIFS(Trials!$C$2:$C$149,B14,Trials!$H$2:$H$149,"&gt;=0")</f>
        <v>2</v>
      </c>
      <c r="D14" s="6">
        <f>SUMIF(Trials!$C$2:$C$149,B14,Trials!$H$2:$H$149)</f>
        <v>120</v>
      </c>
      <c r="E14" s="9">
        <f t="shared" si="2"/>
        <v>60</v>
      </c>
      <c r="F14" s="6">
        <f>SUMPRODUCT(MAX((Trials!$C$2:$C$149=B14)*Trials!$H$2:$H$149))</f>
        <v>61</v>
      </c>
      <c r="G14" s="6">
        <f>SUMIF(Trials!$C$2:$C$149,B14,Trials!$J$2:$J$149)</f>
        <v>22</v>
      </c>
    </row>
    <row r="15">
      <c r="A15" s="6">
        <f t="shared" si="1"/>
        <v>11</v>
      </c>
      <c r="B15" s="6" t="s">
        <v>72</v>
      </c>
      <c r="C15" s="6">
        <f>COUNTIFS(Trials!$C$2:$C$149,B15,Trials!$H$2:$H$149,"&gt;=0")</f>
        <v>2</v>
      </c>
      <c r="D15" s="6">
        <f>SUMIF(Trials!$C$2:$C$149,B15,Trials!$H$2:$H$149)</f>
        <v>114</v>
      </c>
      <c r="E15" s="9">
        <f t="shared" si="2"/>
        <v>57</v>
      </c>
      <c r="F15" s="6">
        <f>SUMPRODUCT(MAX((Trials!$C$2:$C$149=B15)*Trials!$H$2:$H$149))</f>
        <v>77</v>
      </c>
      <c r="G15" s="6">
        <f>SUMIF(Trials!$C$2:$C$149,B15,Trials!$J$2:$J$149)</f>
        <v>0</v>
      </c>
    </row>
    <row r="16">
      <c r="A16" s="6">
        <f t="shared" si="1"/>
        <v>12</v>
      </c>
      <c r="B16" s="6" t="s">
        <v>74</v>
      </c>
      <c r="C16" s="6">
        <f>COUNTIFS(Trials!$C$2:$C$149,B16,Trials!$H$2:$H$149,"&gt;=0")</f>
        <v>4</v>
      </c>
      <c r="D16" s="6">
        <f>SUMIF(Trials!$C$2:$C$149,B16,Trials!$H$2:$H$149)</f>
        <v>112</v>
      </c>
      <c r="E16" s="9">
        <f t="shared" si="2"/>
        <v>28</v>
      </c>
      <c r="F16" s="6">
        <f>SUMPRODUCT(MAX((Trials!$C$2:$C$149=B16)*Trials!$H$2:$H$149))</f>
        <v>38</v>
      </c>
      <c r="G16" s="6">
        <f>SUMIF(Trials!$C$2:$C$149,B16,Trials!$J$2:$J$149)</f>
        <v>28</v>
      </c>
    </row>
    <row r="17">
      <c r="A17" s="6">
        <f t="shared" si="1"/>
        <v>13</v>
      </c>
      <c r="B17" s="6" t="s">
        <v>75</v>
      </c>
      <c r="C17" s="6">
        <f>COUNTIFS(Trials!$C$2:$C$149,B17,Trials!$H$2:$H$149,"&gt;=0")</f>
        <v>2</v>
      </c>
      <c r="D17" s="6">
        <f>SUMIF(Trials!$C$2:$C$149,B17,Trials!$H$2:$H$149)</f>
        <v>107</v>
      </c>
      <c r="E17" s="9">
        <f t="shared" si="2"/>
        <v>53.5</v>
      </c>
      <c r="F17" s="6">
        <f>SUMPRODUCT(MAX((Trials!$C$2:$C$149=B17)*Trials!$H$2:$H$149))</f>
        <v>56</v>
      </c>
      <c r="G17" s="6">
        <f>SUMIF(Trials!$C$2:$C$149,B17,Trials!$J$2:$J$149)</f>
        <v>6</v>
      </c>
    </row>
    <row r="18">
      <c r="A18" s="6">
        <f t="shared" si="1"/>
        <v>14</v>
      </c>
      <c r="B18" s="6" t="s">
        <v>76</v>
      </c>
      <c r="C18" s="6">
        <f>COUNTIFS(Trials!$C$2:$C$149,B18,Trials!$H$2:$H$149,"&gt;=0")</f>
        <v>2</v>
      </c>
      <c r="D18" s="6">
        <f>SUMIF(Trials!$C$2:$C$149,B18,Trials!$H$2:$H$149)</f>
        <v>104</v>
      </c>
      <c r="E18" s="9">
        <f t="shared" si="2"/>
        <v>52</v>
      </c>
      <c r="F18" s="6">
        <f>SUMPRODUCT(MAX((Trials!$C$2:$C$149=B18)*Trials!$H$2:$H$149))</f>
        <v>52</v>
      </c>
      <c r="G18" s="6">
        <f>SUMIF(Trials!$C$2:$C$149,B18,Trials!$J$2:$J$149)</f>
        <v>13</v>
      </c>
    </row>
    <row r="19">
      <c r="A19" s="6">
        <f t="shared" si="1"/>
        <v>14</v>
      </c>
      <c r="B19" s="6" t="s">
        <v>80</v>
      </c>
      <c r="C19" s="6">
        <f>COUNTIFS(Trials!$C$2:$C$149,B19,Trials!$H$2:$H$149,"&gt;=0")</f>
        <v>3</v>
      </c>
      <c r="D19" s="6">
        <f>SUMIF(Trials!$C$2:$C$149,B19,Trials!$H$2:$H$149)</f>
        <v>104</v>
      </c>
      <c r="E19" s="9">
        <f t="shared" si="2"/>
        <v>34.66666667</v>
      </c>
      <c r="F19" s="6">
        <f>SUMPRODUCT(MAX((Trials!$C$2:$C$149=B19)*Trials!$H$2:$H$149))</f>
        <v>35</v>
      </c>
      <c r="G19" s="6">
        <f>SUMIF(Trials!$C$2:$C$149,B19,Trials!$J$2:$J$149)</f>
        <v>14</v>
      </c>
    </row>
    <row r="20">
      <c r="A20" s="6">
        <f t="shared" si="1"/>
        <v>16</v>
      </c>
      <c r="B20" s="6" t="s">
        <v>81</v>
      </c>
      <c r="C20" s="6">
        <f>COUNTIFS(Trials!$C$2:$C$149,B20,Trials!$H$2:$H$149,"&gt;=0")</f>
        <v>2</v>
      </c>
      <c r="D20" s="6">
        <f>SUMIF(Trials!$C$2:$C$149,B20,Trials!$H$2:$H$149)</f>
        <v>98</v>
      </c>
      <c r="E20" s="9">
        <f t="shared" si="2"/>
        <v>49</v>
      </c>
      <c r="F20" s="6">
        <f>SUMPRODUCT(MAX((Trials!$C$2:$C$149=B20)*Trials!$H$2:$H$149))</f>
        <v>52</v>
      </c>
      <c r="G20" s="6">
        <f>SUMIF(Trials!$C$2:$C$149,B20,Trials!$J$2:$J$149)</f>
        <v>16</v>
      </c>
    </row>
    <row r="21" ht="15.75" customHeight="1">
      <c r="A21" s="6">
        <f t="shared" si="1"/>
        <v>17</v>
      </c>
      <c r="B21" s="6" t="s">
        <v>84</v>
      </c>
      <c r="C21" s="6">
        <f>COUNTIFS(Trials!$C$2:$C$149,B21,Trials!$H$2:$H$149,"&gt;=0")</f>
        <v>4</v>
      </c>
      <c r="D21" s="6">
        <f>SUMIF(Trials!$C$2:$C$149,B21,Trials!$H$2:$H$149)</f>
        <v>94</v>
      </c>
      <c r="E21" s="9">
        <f t="shared" si="2"/>
        <v>23.5</v>
      </c>
      <c r="F21" s="6">
        <f>SUMPRODUCT(MAX((Trials!$C$2:$C$149=B21)*Trials!$H$2:$H$149))</f>
        <v>26</v>
      </c>
      <c r="G21" s="6">
        <f>SUMIF(Trials!$C$2:$C$149,B21,Trials!$J$2:$J$149)</f>
        <v>11</v>
      </c>
    </row>
    <row r="22" ht="15.75" customHeight="1">
      <c r="A22" s="6">
        <f t="shared" si="1"/>
        <v>18</v>
      </c>
      <c r="B22" s="6" t="s">
        <v>86</v>
      </c>
      <c r="C22" s="6">
        <f>COUNTIFS(Trials!$C$2:$C$149,B22,Trials!$H$2:$H$149,"&gt;=0")</f>
        <v>2</v>
      </c>
      <c r="D22" s="6">
        <f>SUMIF(Trials!$C$2:$C$149,B22,Trials!$H$2:$H$149)</f>
        <v>93</v>
      </c>
      <c r="E22" s="9">
        <f t="shared" si="2"/>
        <v>46.5</v>
      </c>
      <c r="F22" s="6">
        <f>SUMPRODUCT(MAX((Trials!$C$2:$C$149=B22)*Trials!$H$2:$H$149))</f>
        <v>54</v>
      </c>
      <c r="G22" s="6">
        <f>SUMIF(Trials!$C$2:$C$149,B22,Trials!$J$2:$J$149)</f>
        <v>16</v>
      </c>
    </row>
    <row r="23" ht="15.75" customHeight="1">
      <c r="A23" s="6">
        <f t="shared" si="1"/>
        <v>19</v>
      </c>
      <c r="B23" s="6" t="s">
        <v>82</v>
      </c>
      <c r="C23" s="6">
        <f>COUNTIFS(Trials!$C$2:$C$149,B23,Trials!$H$2:$H$149,"&gt;=0")</f>
        <v>2</v>
      </c>
      <c r="D23" s="6">
        <f>SUMIF(Trials!$C$2:$C$149,B23,Trials!$H$2:$H$149)</f>
        <v>92</v>
      </c>
      <c r="E23" s="9">
        <f t="shared" si="2"/>
        <v>46</v>
      </c>
      <c r="F23" s="6">
        <f>SUMPRODUCT(MAX((Trials!$C$2:$C$149=B23)*Trials!$H$2:$H$149))</f>
        <v>49</v>
      </c>
      <c r="G23" s="6">
        <f>SUMIF(Trials!$C$2:$C$149,B23,Trials!$J$2:$J$149)</f>
        <v>15</v>
      </c>
    </row>
    <row r="24" ht="15.75" customHeight="1">
      <c r="A24" s="6">
        <f t="shared" si="1"/>
        <v>20</v>
      </c>
      <c r="B24" s="6" t="s">
        <v>58</v>
      </c>
      <c r="C24" s="6">
        <f>COUNTIFS(Trials!$C$2:$C$149,B24,Trials!$H$2:$H$149,"&gt;=0")</f>
        <v>3</v>
      </c>
      <c r="D24" s="6">
        <f>SUMIF(Trials!$C$2:$C$149,B24,Trials!$H$2:$H$149)</f>
        <v>79</v>
      </c>
      <c r="E24" s="9">
        <f t="shared" si="2"/>
        <v>26.33333333</v>
      </c>
      <c r="F24" s="6">
        <f>SUMPRODUCT(MAX((Trials!$C$2:$C$149=B24)*Trials!$H$2:$H$149))</f>
        <v>36</v>
      </c>
      <c r="G24" s="6">
        <f>SUMIF(Trials!$C$2:$C$149,B24,Trials!$J$2:$J$149)</f>
        <v>8</v>
      </c>
    </row>
    <row r="25" ht="15.75" customHeight="1">
      <c r="A25" s="6">
        <f t="shared" si="1"/>
        <v>21</v>
      </c>
      <c r="B25" s="6" t="s">
        <v>89</v>
      </c>
      <c r="C25" s="6">
        <f>COUNTIFS(Trials!$C$2:$C$149,B25,Trials!$H$2:$H$149,"&gt;=0")</f>
        <v>2</v>
      </c>
      <c r="D25" s="6">
        <f>SUMIF(Trials!$C$2:$C$149,B25,Trials!$H$2:$H$149)</f>
        <v>78</v>
      </c>
      <c r="E25" s="9">
        <f t="shared" si="2"/>
        <v>39</v>
      </c>
      <c r="F25" s="6">
        <f>SUMPRODUCT(MAX((Trials!$C$2:$C$149=B25)*Trials!$H$2:$H$149))</f>
        <v>42</v>
      </c>
      <c r="G25" s="6">
        <f>SUMIF(Trials!$C$2:$C$149,B25,Trials!$J$2:$J$149)</f>
        <v>10</v>
      </c>
    </row>
    <row r="26" ht="15.75" customHeight="1">
      <c r="A26" s="6">
        <f t="shared" si="1"/>
        <v>22</v>
      </c>
      <c r="B26" s="6" t="s">
        <v>65</v>
      </c>
      <c r="C26" s="6">
        <f>COUNTIFS(Trials!$C$2:$C$149,B26,Trials!$H$2:$H$149,"&gt;=0")</f>
        <v>2</v>
      </c>
      <c r="D26" s="6">
        <f>SUMIF(Trials!$C$2:$C$149,B26,Trials!$H$2:$H$149)</f>
        <v>73</v>
      </c>
      <c r="E26" s="9">
        <f t="shared" si="2"/>
        <v>36.5</v>
      </c>
      <c r="F26" s="6">
        <f>SUMPRODUCT(MAX((Trials!$C$2:$C$149=B26)*Trials!$H$2:$H$149))</f>
        <v>42</v>
      </c>
      <c r="G26" s="6">
        <f>SUMIF(Trials!$C$2:$C$149,B26,Trials!$J$2:$J$149)</f>
        <v>12</v>
      </c>
    </row>
    <row r="27" ht="15.75" customHeight="1">
      <c r="A27" s="6">
        <f t="shared" si="1"/>
        <v>23</v>
      </c>
      <c r="B27" s="6" t="s">
        <v>95</v>
      </c>
      <c r="C27" s="6">
        <f>COUNTIFS(Trials!$C$2:$C$149,B27,Trials!$H$2:$H$149,"&gt;=0")</f>
        <v>2</v>
      </c>
      <c r="D27" s="6">
        <f>SUMIF(Trials!$C$2:$C$149,B27,Trials!$H$2:$H$149)</f>
        <v>71</v>
      </c>
      <c r="E27" s="9">
        <f t="shared" si="2"/>
        <v>35.5</v>
      </c>
      <c r="F27" s="6">
        <f>SUMPRODUCT(MAX((Trials!$C$2:$C$149=B27)*Trials!$H$2:$H$149))</f>
        <v>39</v>
      </c>
      <c r="G27" s="6">
        <f>SUMIF(Trials!$C$2:$C$149,B27,Trials!$J$2:$J$149)</f>
        <v>7</v>
      </c>
    </row>
    <row r="28" ht="15.75" customHeight="1">
      <c r="A28" s="6">
        <f t="shared" si="1"/>
        <v>24</v>
      </c>
      <c r="B28" s="6" t="s">
        <v>96</v>
      </c>
      <c r="C28" s="6">
        <f>COUNTIFS(Trials!$C$2:$C$149,B28,Trials!$H$2:$H$149,"&gt;=0")</f>
        <v>2</v>
      </c>
      <c r="D28" s="6">
        <f>SUMIF(Trials!$C$2:$C$149,B28,Trials!$H$2:$H$149)</f>
        <v>64</v>
      </c>
      <c r="E28" s="9">
        <f t="shared" si="2"/>
        <v>32</v>
      </c>
      <c r="F28" s="6">
        <f>SUMPRODUCT(MAX((Trials!$C$2:$C$149=B28)*Trials!$H$2:$H$149))</f>
        <v>33</v>
      </c>
      <c r="G28" s="6">
        <f>SUMIF(Trials!$C$2:$C$149,B28,Trials!$J$2:$J$149)</f>
        <v>6</v>
      </c>
    </row>
    <row r="29" ht="15.75" customHeight="1">
      <c r="A29" s="6">
        <f t="shared" si="1"/>
        <v>25</v>
      </c>
      <c r="B29" s="6" t="s">
        <v>98</v>
      </c>
      <c r="C29" s="6">
        <f>COUNTIFS(Trials!$C$2:$C$149,B29,Trials!$H$2:$H$149,"&gt;=0")</f>
        <v>2</v>
      </c>
      <c r="D29" s="6">
        <f>SUMIF(Trials!$C$2:$C$149,B29,Trials!$H$2:$H$149)</f>
        <v>63</v>
      </c>
      <c r="E29" s="9">
        <f t="shared" si="2"/>
        <v>31.5</v>
      </c>
      <c r="F29" s="6">
        <f>SUMPRODUCT(MAX((Trials!$C$2:$C$149=B29)*Trials!$H$2:$H$149))</f>
        <v>42</v>
      </c>
      <c r="G29" s="6">
        <f>SUMIF(Trials!$C$2:$C$149,B29,Trials!$J$2:$J$149)</f>
        <v>14</v>
      </c>
    </row>
    <row r="30" ht="15.75" customHeight="1">
      <c r="A30" s="6">
        <f t="shared" si="1"/>
        <v>26</v>
      </c>
      <c r="B30" s="6" t="s">
        <v>97</v>
      </c>
      <c r="C30" s="6">
        <f>COUNTIFS(Trials!$C$2:$C$149,B30,Trials!$H$2:$H$149,"&gt;=0")</f>
        <v>2</v>
      </c>
      <c r="D30" s="6">
        <f>SUMIF(Trials!$C$2:$C$149,B30,Trials!$H$2:$H$149)</f>
        <v>58</v>
      </c>
      <c r="E30" s="9">
        <f t="shared" si="2"/>
        <v>29</v>
      </c>
      <c r="F30" s="6">
        <f>SUMPRODUCT(MAX((Trials!$C$2:$C$149=B30)*Trials!$H$2:$H$149))</f>
        <v>31</v>
      </c>
      <c r="G30" s="6">
        <f>SUMIF(Trials!$C$2:$C$149,B30,Trials!$J$2:$J$149)</f>
        <v>15</v>
      </c>
    </row>
    <row r="31" ht="15.75" customHeight="1">
      <c r="A31" s="6">
        <f t="shared" si="1"/>
        <v>27</v>
      </c>
      <c r="B31" s="6" t="s">
        <v>73</v>
      </c>
      <c r="C31" s="6">
        <f>COUNTIFS(Trials!$C$2:$C$149,B31,Trials!$H$2:$H$149,"&gt;=0")</f>
        <v>2</v>
      </c>
      <c r="D31" s="6">
        <f>SUMIF(Trials!$C$2:$C$149,B31,Trials!$H$2:$H$149)</f>
        <v>55</v>
      </c>
      <c r="E31" s="9">
        <f t="shared" si="2"/>
        <v>27.5</v>
      </c>
      <c r="F31" s="6">
        <f>SUMPRODUCT(MAX((Trials!$C$2:$C$149=B31)*Trials!$H$2:$H$149))</f>
        <v>31</v>
      </c>
      <c r="G31" s="6">
        <f>SUMIF(Trials!$C$2:$C$149,B31,Trials!$J$2:$J$149)</f>
        <v>14</v>
      </c>
    </row>
    <row r="32" ht="15.75" customHeight="1">
      <c r="A32" s="6">
        <f t="shared" si="1"/>
        <v>28</v>
      </c>
      <c r="B32" s="6" t="s">
        <v>103</v>
      </c>
      <c r="C32" s="6">
        <f>COUNTIFS(Trials!$C$2:$C$149,B32,Trials!$H$2:$H$149,"&gt;=0")</f>
        <v>2</v>
      </c>
      <c r="D32" s="6">
        <f>SUMIF(Trials!$C$2:$C$149,B32,Trials!$H$2:$H$149)</f>
        <v>44</v>
      </c>
      <c r="E32" s="9">
        <f t="shared" si="2"/>
        <v>22</v>
      </c>
      <c r="F32" s="6">
        <f>SUMPRODUCT(MAX((Trials!$C$2:$C$149=B32)*Trials!$H$2:$H$149))</f>
        <v>22</v>
      </c>
      <c r="G32" s="6">
        <f>SUMIF(Trials!$C$2:$C$149,B32,Trials!$J$2:$J$149)</f>
        <v>10</v>
      </c>
    </row>
    <row r="33" ht="15.75" customHeight="1">
      <c r="A33" s="6">
        <f t="shared" si="1"/>
        <v>28</v>
      </c>
      <c r="B33" s="6" t="s">
        <v>104</v>
      </c>
      <c r="C33" s="6">
        <f>COUNTIFS(Trials!$C$2:$C$149,B33,Trials!$H$2:$H$149,"&gt;=0")</f>
        <v>2</v>
      </c>
      <c r="D33" s="6">
        <f>SUMIF(Trials!$C$2:$C$149,B33,Trials!$H$2:$H$149)</f>
        <v>44</v>
      </c>
      <c r="E33" s="9">
        <f t="shared" si="2"/>
        <v>22</v>
      </c>
      <c r="F33" s="6">
        <f>SUMPRODUCT(MAX((Trials!$C$2:$C$149=B33)*Trials!$H$2:$H$149))</f>
        <v>24</v>
      </c>
      <c r="G33" s="6">
        <f>SUMIF(Trials!$C$2:$C$149,B33,Trials!$J$2:$J$149)</f>
        <v>13</v>
      </c>
    </row>
    <row r="34" ht="15.75" customHeight="1">
      <c r="A34" s="6">
        <f t="shared" si="1"/>
        <v>30</v>
      </c>
      <c r="B34" s="6" t="s">
        <v>108</v>
      </c>
      <c r="C34" s="6">
        <f>COUNTIFS(Trials!$C$2:$C$149,B34,Trials!$H$2:$H$149,"&gt;=0")</f>
        <v>5</v>
      </c>
      <c r="D34" s="6">
        <f>SUMIF(Trials!$C$2:$C$149,B34,Trials!$H$2:$H$149)</f>
        <v>41</v>
      </c>
      <c r="E34" s="9">
        <f t="shared" si="2"/>
        <v>8.2</v>
      </c>
      <c r="F34" s="6">
        <f>SUMPRODUCT(MAX((Trials!$C$2:$C$149=B34)*Trials!$H$2:$H$149))</f>
        <v>10</v>
      </c>
      <c r="G34" s="6">
        <f>SUMIF(Trials!$C$2:$C$149,B34,Trials!$J$2:$J$149)</f>
        <v>6</v>
      </c>
    </row>
    <row r="35" ht="15.75" customHeight="1">
      <c r="A35" s="6">
        <f t="shared" si="1"/>
        <v>31</v>
      </c>
      <c r="B35" s="6" t="s">
        <v>111</v>
      </c>
      <c r="C35" s="6">
        <f>COUNTIFS(Trials!$C$2:$C$149,B35,Trials!$H$2:$H$149,"&gt;=0")</f>
        <v>2</v>
      </c>
      <c r="D35" s="6">
        <f>SUMIF(Trials!$C$2:$C$149,B35,Trials!$H$2:$H$149)</f>
        <v>40</v>
      </c>
      <c r="E35" s="9">
        <f t="shared" si="2"/>
        <v>20</v>
      </c>
      <c r="F35" s="6">
        <f>SUMPRODUCT(MAX((Trials!$C$2:$C$149=B35)*Trials!$H$2:$H$149))</f>
        <v>25</v>
      </c>
      <c r="G35" s="6">
        <f>SUMIF(Trials!$C$2:$C$149,B35,Trials!$J$2:$J$149)</f>
        <v>15</v>
      </c>
    </row>
    <row r="36" ht="15.75" customHeight="1">
      <c r="A36" s="6">
        <f t="shared" si="1"/>
        <v>32</v>
      </c>
      <c r="B36" s="6" t="s">
        <v>68</v>
      </c>
      <c r="C36" s="6">
        <f>COUNTIFS(Trials!$C$2:$C$149,B36,Trials!$H$2:$H$149,"&gt;=0")</f>
        <v>1</v>
      </c>
      <c r="D36" s="6">
        <f>SUMIF(Trials!$C$2:$C$149,B36,Trials!$H$2:$H$149)</f>
        <v>37</v>
      </c>
      <c r="E36" s="9">
        <f t="shared" si="2"/>
        <v>37</v>
      </c>
      <c r="F36" s="6">
        <f>SUMPRODUCT(MAX((Trials!$C$2:$C$149=B36)*Trials!$H$2:$H$149))</f>
        <v>37</v>
      </c>
      <c r="G36" s="6">
        <f>SUMIF(Trials!$C$2:$C$149,B36,Trials!$J$2:$J$149)</f>
        <v>4</v>
      </c>
    </row>
    <row r="37" ht="15.75" customHeight="1">
      <c r="A37" s="6">
        <f t="shared" si="1"/>
        <v>33</v>
      </c>
      <c r="B37" s="6" t="s">
        <v>116</v>
      </c>
      <c r="C37" s="6">
        <f>COUNTIFS(Trials!$C$2:$C$149,B37,Trials!$H$2:$H$149,"&gt;=0")</f>
        <v>1</v>
      </c>
      <c r="D37" s="6">
        <f>SUMIF(Trials!$C$2:$C$149,B37,Trials!$H$2:$H$149)</f>
        <v>35</v>
      </c>
      <c r="E37" s="9">
        <f t="shared" si="2"/>
        <v>35</v>
      </c>
      <c r="F37" s="6">
        <f>SUMPRODUCT(MAX((Trials!$C$2:$C$149=B37)*Trials!$H$2:$H$149))</f>
        <v>35</v>
      </c>
      <c r="G37" s="6">
        <f>SUMIF(Trials!$C$2:$C$149,B37,Trials!$J$2:$J$149)</f>
        <v>14</v>
      </c>
    </row>
    <row r="38" ht="15.75" customHeight="1">
      <c r="A38" s="6">
        <f t="shared" si="1"/>
        <v>34</v>
      </c>
      <c r="B38" s="6" t="s">
        <v>105</v>
      </c>
      <c r="C38" s="6">
        <f>COUNTIFS(Trials!$C$2:$C$149,B38,Trials!$H$2:$H$149,"&gt;=0")</f>
        <v>3</v>
      </c>
      <c r="D38" s="6">
        <f>SUMIF(Trials!$C$2:$C$149,B38,Trials!$H$2:$H$149)</f>
        <v>34</v>
      </c>
      <c r="E38" s="9">
        <f t="shared" si="2"/>
        <v>11.33333333</v>
      </c>
      <c r="F38" s="6">
        <f>SUMPRODUCT(MAX((Trials!$C$2:$C$149=B38)*Trials!$H$2:$H$149))</f>
        <v>15</v>
      </c>
      <c r="G38" s="6">
        <f>SUMIF(Trials!$C$2:$C$149,B38,Trials!$J$2:$J$149)</f>
        <v>5</v>
      </c>
    </row>
    <row r="39" ht="15.75" customHeight="1">
      <c r="A39" s="6">
        <f t="shared" si="1"/>
        <v>35</v>
      </c>
      <c r="B39" s="6" t="s">
        <v>122</v>
      </c>
      <c r="C39" s="6">
        <f>COUNTIFS(Trials!$C$2:$C$149,B39,Trials!$H$2:$H$149,"&gt;=0")</f>
        <v>2</v>
      </c>
      <c r="D39" s="6">
        <f>SUMIF(Trials!$C$2:$C$149,B39,Trials!$H$2:$H$149)</f>
        <v>33</v>
      </c>
      <c r="E39" s="9">
        <f t="shared" si="2"/>
        <v>16.5</v>
      </c>
      <c r="F39" s="6">
        <f>SUMPRODUCT(MAX((Trials!$C$2:$C$149=B39)*Trials!$H$2:$H$149))</f>
        <v>20</v>
      </c>
      <c r="G39" s="6">
        <f>SUMIF(Trials!$C$2:$C$149,B39,Trials!$J$2:$J$149)</f>
        <v>10</v>
      </c>
    </row>
    <row r="40" ht="15.75" customHeight="1">
      <c r="A40" s="6">
        <f t="shared" si="1"/>
        <v>36</v>
      </c>
      <c r="B40" s="6" t="s">
        <v>128</v>
      </c>
      <c r="C40" s="6">
        <f>COUNTIFS(Trials!$C$2:$C$149,B40,Trials!$H$2:$H$149,"&gt;=0")</f>
        <v>2</v>
      </c>
      <c r="D40" s="6">
        <f>SUMIF(Trials!$C$2:$C$149,B40,Trials!$H$2:$H$149)</f>
        <v>32</v>
      </c>
      <c r="E40" s="9">
        <f t="shared" si="2"/>
        <v>16</v>
      </c>
      <c r="F40" s="6">
        <f>SUMPRODUCT(MAX((Trials!$C$2:$C$149=B40)*Trials!$H$2:$H$149))</f>
        <v>19</v>
      </c>
      <c r="G40" s="6">
        <f>SUMIF(Trials!$C$2:$C$149,B40,Trials!$J$2:$J$149)</f>
        <v>15</v>
      </c>
    </row>
    <row r="41" ht="15.75" customHeight="1">
      <c r="A41" s="6">
        <f t="shared" si="1"/>
        <v>36</v>
      </c>
      <c r="B41" s="6" t="s">
        <v>112</v>
      </c>
      <c r="C41" s="6">
        <f>COUNTIFS(Trials!$C$2:$C$149,B41,Trials!$H$2:$H$149,"&gt;=0")</f>
        <v>2</v>
      </c>
      <c r="D41" s="6">
        <f>SUMIF(Trials!$C$2:$C$149,B41,Trials!$H$2:$H$149)</f>
        <v>32</v>
      </c>
      <c r="E41" s="9">
        <f t="shared" si="2"/>
        <v>16</v>
      </c>
      <c r="F41" s="6">
        <f>SUMPRODUCT(MAX((Trials!$C$2:$C$149=B41)*Trials!$H$2:$H$149))</f>
        <v>16</v>
      </c>
      <c r="G41" s="6">
        <f>SUMIF(Trials!$C$2:$C$149,B41,Trials!$J$2:$J$149)</f>
        <v>16</v>
      </c>
    </row>
    <row r="42" ht="15.75" customHeight="1">
      <c r="A42" s="6">
        <f t="shared" si="1"/>
        <v>38</v>
      </c>
      <c r="B42" s="6" t="s">
        <v>90</v>
      </c>
      <c r="C42" s="6">
        <f>COUNTIFS(Trials!$C$2:$C$149,B42,Trials!$H$2:$H$149,"&gt;=0")</f>
        <v>2</v>
      </c>
      <c r="D42" s="6">
        <f>SUMIF(Trials!$C$2:$C$149,B42,Trials!$H$2:$H$149)</f>
        <v>31</v>
      </c>
      <c r="E42" s="9">
        <f t="shared" si="2"/>
        <v>15.5</v>
      </c>
      <c r="F42" s="6">
        <f>SUMPRODUCT(MAX((Trials!$C$2:$C$149=B42)*Trials!$H$2:$H$149))</f>
        <v>18</v>
      </c>
      <c r="G42" s="6">
        <f>SUMIF(Trials!$C$2:$C$149,B42,Trials!$J$2:$J$149)</f>
        <v>10</v>
      </c>
    </row>
    <row r="43" ht="15.75" customHeight="1">
      <c r="A43" s="6">
        <f t="shared" si="1"/>
        <v>39</v>
      </c>
      <c r="B43" s="6" t="s">
        <v>134</v>
      </c>
      <c r="C43" s="6">
        <f>COUNTIFS(Trials!$C$2:$C$149,B43,Trials!$H$2:$H$149,"&gt;=0")</f>
        <v>1</v>
      </c>
      <c r="D43" s="6">
        <f>SUMIF(Trials!$C$2:$C$149,B43,Trials!$H$2:$H$149)</f>
        <v>30</v>
      </c>
      <c r="E43" s="9">
        <f t="shared" si="2"/>
        <v>30</v>
      </c>
      <c r="F43" s="6">
        <f>SUMPRODUCT(MAX((Trials!$C$2:$C$149=B43)*Trials!$H$2:$H$149))</f>
        <v>30</v>
      </c>
      <c r="G43" s="6">
        <f>SUMIF(Trials!$C$2:$C$149,B43,Trials!$J$2:$J$149)</f>
        <v>0</v>
      </c>
    </row>
    <row r="44" ht="15.75" customHeight="1">
      <c r="A44" s="6">
        <f t="shared" si="1"/>
        <v>40</v>
      </c>
      <c r="B44" s="6" t="s">
        <v>125</v>
      </c>
      <c r="C44" s="6">
        <f>COUNTIFS(Trials!$C$2:$C$149,B44,Trials!$H$2:$H$149,"&gt;=0")</f>
        <v>2</v>
      </c>
      <c r="D44" s="6">
        <f>SUMIF(Trials!$C$2:$C$149,B44,Trials!$H$2:$H$149)</f>
        <v>27</v>
      </c>
      <c r="E44" s="9">
        <f t="shared" si="2"/>
        <v>13.5</v>
      </c>
      <c r="F44" s="6">
        <f>SUMPRODUCT(MAX((Trials!$C$2:$C$149=B44)*Trials!$H$2:$H$149))</f>
        <v>16</v>
      </c>
      <c r="G44" s="6">
        <f>SUMIF(Trials!$C$2:$C$149,B44,Trials!$J$2:$J$149)</f>
        <v>0</v>
      </c>
    </row>
    <row r="45" ht="15.75" customHeight="1">
      <c r="A45" s="6">
        <f t="shared" si="1"/>
        <v>41</v>
      </c>
      <c r="B45" s="6" t="s">
        <v>146</v>
      </c>
      <c r="C45" s="6">
        <f>COUNTIFS(Trials!$C$2:$C$149,B45,Trials!$H$2:$H$149,"&gt;=0")</f>
        <v>1</v>
      </c>
      <c r="D45" s="6">
        <f>SUMIF(Trials!$C$2:$C$149,B45,Trials!$H$2:$H$149)</f>
        <v>26</v>
      </c>
      <c r="E45" s="9">
        <f t="shared" si="2"/>
        <v>26</v>
      </c>
      <c r="F45" s="6">
        <f>SUMPRODUCT(MAX((Trials!$C$2:$C$149=B45)*Trials!$H$2:$H$149))</f>
        <v>26</v>
      </c>
      <c r="G45" s="6">
        <f>SUMIF(Trials!$C$2:$C$149,B45,Trials!$J$2:$J$149)</f>
        <v>0</v>
      </c>
    </row>
    <row r="46" ht="15.75" customHeight="1">
      <c r="A46" s="6">
        <f t="shared" si="1"/>
        <v>42</v>
      </c>
      <c r="B46" s="6" t="s">
        <v>147</v>
      </c>
      <c r="C46" s="6">
        <f>COUNTIFS(Trials!$C$2:$C$149,B46,Trials!$H$2:$H$149,"&gt;=0")</f>
        <v>2</v>
      </c>
      <c r="D46" s="6">
        <f>SUMIF(Trials!$C$2:$C$149,B46,Trials!$H$2:$H$149)</f>
        <v>25</v>
      </c>
      <c r="E46" s="9">
        <f t="shared" si="2"/>
        <v>12.5</v>
      </c>
      <c r="F46" s="6">
        <f>SUMPRODUCT(MAX((Trials!$C$2:$C$149=B46)*Trials!$H$2:$H$149))</f>
        <v>14</v>
      </c>
      <c r="G46" s="6">
        <f>SUMIF(Trials!$C$2:$C$149,B46,Trials!$J$2:$J$149)</f>
        <v>20</v>
      </c>
    </row>
    <row r="47" ht="15.75" customHeight="1">
      <c r="A47" s="6">
        <f t="shared" si="1"/>
        <v>43</v>
      </c>
      <c r="B47" s="6" t="s">
        <v>45</v>
      </c>
      <c r="C47" s="6">
        <f>COUNTIFS(Trials!$C$2:$C$149,B47,Trials!$H$2:$H$149,"&gt;=0")</f>
        <v>1</v>
      </c>
      <c r="D47" s="6">
        <f>SUMIF(Trials!$C$2:$C$149,B47,Trials!$H$2:$H$149)</f>
        <v>24</v>
      </c>
      <c r="E47" s="9">
        <f t="shared" si="2"/>
        <v>24</v>
      </c>
      <c r="F47" s="6">
        <f>SUMPRODUCT(MAX((Trials!$C$2:$C$149=B47)*Trials!$H$2:$H$149))</f>
        <v>24</v>
      </c>
      <c r="G47" s="6">
        <f>SUMIF(Trials!$C$2:$C$149,B47,Trials!$J$2:$J$149)</f>
        <v>5</v>
      </c>
    </row>
    <row r="48" ht="15.75" customHeight="1">
      <c r="A48" s="6">
        <f t="shared" si="1"/>
        <v>43</v>
      </c>
      <c r="B48" s="6" t="s">
        <v>77</v>
      </c>
      <c r="C48" s="6">
        <f>COUNTIFS(Trials!$C$2:$C$149,B48,Trials!$H$2:$H$149,"&gt;=0")</f>
        <v>2</v>
      </c>
      <c r="D48" s="6">
        <f>SUMIF(Trials!$C$2:$C$149,B48,Trials!$H$2:$H$149)</f>
        <v>24</v>
      </c>
      <c r="E48" s="9">
        <f t="shared" si="2"/>
        <v>12</v>
      </c>
      <c r="F48" s="6">
        <f>SUMPRODUCT(MAX((Trials!$C$2:$C$149=B48)*Trials!$H$2:$H$149))</f>
        <v>13</v>
      </c>
      <c r="G48" s="6">
        <f>SUMIF(Trials!$C$2:$C$149,B48,Trials!$J$2:$J$149)</f>
        <v>8</v>
      </c>
    </row>
    <row r="49" ht="15.75" customHeight="1">
      <c r="A49" s="6">
        <f t="shared" si="1"/>
        <v>45</v>
      </c>
      <c r="B49" s="6" t="s">
        <v>149</v>
      </c>
      <c r="C49" s="6">
        <f>COUNTIFS(Trials!$C$2:$C$149,B49,Trials!$H$2:$H$149,"&gt;=0")</f>
        <v>1</v>
      </c>
      <c r="D49" s="6">
        <f>SUMIF(Trials!$C$2:$C$149,B49,Trials!$H$2:$H$149)</f>
        <v>20</v>
      </c>
      <c r="E49" s="9">
        <f t="shared" si="2"/>
        <v>20</v>
      </c>
      <c r="F49" s="6">
        <f>SUMPRODUCT(MAX((Trials!$C$2:$C$149=B49)*Trials!$H$2:$H$149))</f>
        <v>20</v>
      </c>
      <c r="G49" s="6">
        <f>SUMIF(Trials!$C$2:$C$149,B49,Trials!$J$2:$J$149)</f>
        <v>0</v>
      </c>
    </row>
    <row r="50" ht="15.75" customHeight="1">
      <c r="A50" s="6">
        <f t="shared" si="1"/>
        <v>46</v>
      </c>
      <c r="B50" s="6" t="s">
        <v>54</v>
      </c>
      <c r="C50" s="6">
        <f>COUNTIFS(Trials!$C$2:$C$149,B50,Trials!$H$2:$H$149,"&gt;=0")</f>
        <v>1</v>
      </c>
      <c r="D50" s="6">
        <f>SUMIF(Trials!$C$2:$C$149,B50,Trials!$H$2:$H$149)</f>
        <v>19</v>
      </c>
      <c r="E50" s="9">
        <f t="shared" si="2"/>
        <v>19</v>
      </c>
      <c r="F50" s="6">
        <f>SUMPRODUCT(MAX((Trials!$C$2:$C$149=B50)*Trials!$H$2:$H$149))</f>
        <v>19</v>
      </c>
      <c r="G50" s="6">
        <f>SUMIF(Trials!$C$2:$C$149,B50,Trials!$J$2:$J$149)</f>
        <v>4</v>
      </c>
    </row>
    <row r="51" ht="15.75" customHeight="1">
      <c r="A51" s="6">
        <f t="shared" si="1"/>
        <v>46</v>
      </c>
      <c r="B51" s="6" t="s">
        <v>141</v>
      </c>
      <c r="C51" s="6">
        <f>COUNTIFS(Trials!$C$2:$C$149,B51,Trials!$H$2:$H$149,"&gt;=0")</f>
        <v>2</v>
      </c>
      <c r="D51" s="6">
        <f>SUMIF(Trials!$C$2:$C$149,B51,Trials!$H$2:$H$149)</f>
        <v>19</v>
      </c>
      <c r="E51" s="9">
        <f t="shared" si="2"/>
        <v>9.5</v>
      </c>
      <c r="F51" s="6">
        <f>SUMPRODUCT(MAX((Trials!$C$2:$C$149=B51)*Trials!$H$2:$H$149))</f>
        <v>11</v>
      </c>
      <c r="G51" s="6">
        <f>SUMIF(Trials!$C$2:$C$149,B51,Trials!$J$2:$J$149)</f>
        <v>9</v>
      </c>
    </row>
    <row r="52" ht="15.75" customHeight="1">
      <c r="A52" s="6">
        <f t="shared" si="1"/>
        <v>48</v>
      </c>
      <c r="B52" s="6" t="s">
        <v>154</v>
      </c>
      <c r="C52" s="6">
        <f>COUNTIFS(Trials!$C$2:$C$149,B52,Trials!$H$2:$H$149,"&gt;=0")</f>
        <v>1</v>
      </c>
      <c r="D52" s="6">
        <f>SUMIF(Trials!$C$2:$C$149,B52,Trials!$H$2:$H$149)</f>
        <v>17</v>
      </c>
      <c r="E52" s="9">
        <f t="shared" si="2"/>
        <v>17</v>
      </c>
      <c r="F52" s="6">
        <f>SUMPRODUCT(MAX((Trials!$C$2:$C$149=B52)*Trials!$H$2:$H$149))</f>
        <v>17</v>
      </c>
      <c r="G52" s="6">
        <f>SUMIF(Trials!$C$2:$C$149,B52,Trials!$J$2:$J$149)</f>
        <v>0</v>
      </c>
    </row>
    <row r="53" ht="15.75" customHeight="1">
      <c r="A53" s="6">
        <f t="shared" si="1"/>
        <v>49</v>
      </c>
      <c r="B53" s="6" t="s">
        <v>157</v>
      </c>
      <c r="C53" s="6">
        <f>COUNTIFS(Trials!$C$2:$C$149,B53,Trials!$H$2:$H$149,"&gt;=0")</f>
        <v>2</v>
      </c>
      <c r="D53" s="6">
        <f>SUMIF(Trials!$C$2:$C$149,B53,Trials!$H$2:$H$149)</f>
        <v>16</v>
      </c>
      <c r="E53" s="9">
        <f t="shared" si="2"/>
        <v>8</v>
      </c>
      <c r="F53" s="6">
        <f>SUMPRODUCT(MAX((Trials!$C$2:$C$149=B53)*Trials!$H$2:$H$149))</f>
        <v>9</v>
      </c>
      <c r="G53" s="6">
        <f>SUMIF(Trials!$C$2:$C$149,B53,Trials!$J$2:$J$149)</f>
        <v>4</v>
      </c>
    </row>
    <row r="54" ht="15.75" customHeight="1">
      <c r="A54" s="6">
        <f t="shared" si="1"/>
        <v>50</v>
      </c>
      <c r="B54" s="6" t="s">
        <v>158</v>
      </c>
      <c r="C54" s="6">
        <f>COUNTIFS(Trials!$C$2:$C$149,B54,Trials!$H$2:$H$149,"&gt;=0")</f>
        <v>1</v>
      </c>
      <c r="D54" s="6">
        <f>SUMIF(Trials!$C$2:$C$149,B54,Trials!$H$2:$H$149)</f>
        <v>13</v>
      </c>
      <c r="E54" s="9">
        <f t="shared" si="2"/>
        <v>13</v>
      </c>
      <c r="F54" s="6">
        <f>SUMPRODUCT(MAX((Trials!$C$2:$C$149=B54)*Trials!$H$2:$H$149))</f>
        <v>13</v>
      </c>
      <c r="G54" s="6">
        <f>SUMIF(Trials!$C$2:$C$149,B54,Trials!$J$2:$J$149)</f>
        <v>0</v>
      </c>
    </row>
    <row r="55" ht="15.75" customHeight="1">
      <c r="A55" s="6">
        <f t="shared" si="1"/>
        <v>50</v>
      </c>
      <c r="B55" s="6" t="s">
        <v>117</v>
      </c>
      <c r="C55" s="6">
        <f>COUNTIFS(Trials!$C$2:$C$149,B55,Trials!$H$2:$H$149,"&gt;=0")</f>
        <v>1</v>
      </c>
      <c r="D55" s="6">
        <f>SUMIF(Trials!$C$2:$C$149,B55,Trials!$H$2:$H$149)</f>
        <v>13</v>
      </c>
      <c r="E55" s="9">
        <f t="shared" si="2"/>
        <v>13</v>
      </c>
      <c r="F55" s="6">
        <f>SUMPRODUCT(MAX((Trials!$C$2:$C$149=B55)*Trials!$H$2:$H$149))</f>
        <v>13</v>
      </c>
      <c r="G55" s="6">
        <f>SUMIF(Trials!$C$2:$C$149,B55,Trials!$J$2:$J$149)</f>
        <v>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8.0"/>
    <col customWidth="1" min="3" max="3" width="9.0"/>
    <col customWidth="1" min="4" max="4" width="11.0"/>
    <col customWidth="1" min="5" max="6" width="10.0"/>
    <col customWidth="1" min="7" max="7" width="11.0"/>
    <col customWidth="1" min="8" max="26" width="8.71"/>
  </cols>
  <sheetData>
    <row r="1">
      <c r="A1" s="1" t="s">
        <v>169</v>
      </c>
    </row>
    <row r="2">
      <c r="A2" s="3" t="s">
        <v>170</v>
      </c>
    </row>
    <row r="4">
      <c r="A4" s="2" t="s">
        <v>9</v>
      </c>
      <c r="B4" s="2" t="s">
        <v>8</v>
      </c>
      <c r="C4" s="2" t="s">
        <v>13</v>
      </c>
      <c r="D4" s="2" t="s">
        <v>12</v>
      </c>
      <c r="E4" s="2" t="s">
        <v>16</v>
      </c>
      <c r="F4" s="2" t="s">
        <v>18</v>
      </c>
      <c r="G4" s="2" t="s">
        <v>20</v>
      </c>
    </row>
    <row r="5">
      <c r="A5" s="6">
        <f t="shared" ref="A5:A29" si="1">RANK(D5,$D$5:$D$29)</f>
        <v>1</v>
      </c>
      <c r="B5" s="6" t="s">
        <v>71</v>
      </c>
      <c r="C5" s="6">
        <f>COUNTIFS(Trials!$E$2:$E$149,B5,Trials!$H$2:$H$149,"&gt;=0")</f>
        <v>15</v>
      </c>
      <c r="D5" s="6">
        <f>SUMIF(Trials!$E$2:$E$149,B5,Trials!$H$2:$H$149)</f>
        <v>572</v>
      </c>
      <c r="E5" s="9">
        <f t="shared" ref="E5:E29" si="2">D5/C5</f>
        <v>38.13333333</v>
      </c>
      <c r="F5" s="6">
        <f>SUMPRODUCT(MAX((Trials!$E$2:$E$149=B5)*Trials!$H$2:$H$149))</f>
        <v>77</v>
      </c>
      <c r="G5" s="6">
        <f>SUMIF(Trials!$E$2:$E$149,B5,Trials!$J$2:$J$149)</f>
        <v>94</v>
      </c>
    </row>
    <row r="6">
      <c r="A6" s="6">
        <f t="shared" si="1"/>
        <v>2</v>
      </c>
      <c r="B6" s="6" t="s">
        <v>47</v>
      </c>
      <c r="C6" s="6">
        <f>COUNTIFS(Trials!$E$2:$E$149,B6,Trials!$H$2:$H$149,"&gt;=0")</f>
        <v>10</v>
      </c>
      <c r="D6" s="6">
        <f>SUMIF(Trials!$E$2:$E$149,B6,Trials!$H$2:$H$149)</f>
        <v>433</v>
      </c>
      <c r="E6" s="9">
        <f t="shared" si="2"/>
        <v>43.3</v>
      </c>
      <c r="F6" s="6">
        <f>SUMPRODUCT(MAX((Trials!$E$2:$E$149=B6)*Trials!$H$2:$H$149))</f>
        <v>73</v>
      </c>
      <c r="G6" s="6">
        <f>SUMIF(Trials!$E$2:$E$149,B6,Trials!$J$2:$J$149)</f>
        <v>51</v>
      </c>
    </row>
    <row r="7">
      <c r="A7" s="6">
        <f t="shared" si="1"/>
        <v>3</v>
      </c>
      <c r="B7" s="6" t="s">
        <v>28</v>
      </c>
      <c r="C7" s="6">
        <f>COUNTIFS(Trials!$E$2:$E$149,B7,Trials!$H$2:$H$149,"&gt;=0")</f>
        <v>10</v>
      </c>
      <c r="D7" s="6">
        <f>SUMIF(Trials!$E$2:$E$149,B7,Trials!$H$2:$H$149)</f>
        <v>420</v>
      </c>
      <c r="E7" s="9">
        <f t="shared" si="2"/>
        <v>42</v>
      </c>
      <c r="F7" s="6">
        <f>SUMPRODUCT(MAX((Trials!$E$2:$E$149=B7)*Trials!$H$2:$H$149))</f>
        <v>52</v>
      </c>
      <c r="G7" s="6">
        <f>SUMIF(Trials!$E$2:$E$149,B7,Trials!$J$2:$J$149)</f>
        <v>42</v>
      </c>
    </row>
    <row r="8">
      <c r="A8" s="6">
        <f t="shared" si="1"/>
        <v>4</v>
      </c>
      <c r="B8" s="6" t="s">
        <v>37</v>
      </c>
      <c r="C8" s="6">
        <f>COUNTIFS(Trials!$E$2:$E$149,B8,Trials!$H$2:$H$149,"&gt;=0")</f>
        <v>10</v>
      </c>
      <c r="D8" s="6">
        <f>SUMIF(Trials!$E$2:$E$149,B8,Trials!$H$2:$H$149)</f>
        <v>372</v>
      </c>
      <c r="E8" s="9">
        <f t="shared" si="2"/>
        <v>37.2</v>
      </c>
      <c r="F8" s="6">
        <f>SUMPRODUCT(MAX((Trials!$E$2:$E$149=B8)*Trials!$H$2:$H$149))</f>
        <v>61</v>
      </c>
      <c r="G8" s="6">
        <f>SUMIF(Trials!$E$2:$E$149,B8,Trials!$J$2:$J$149)</f>
        <v>59</v>
      </c>
    </row>
    <row r="9">
      <c r="A9" s="6">
        <f t="shared" si="1"/>
        <v>5</v>
      </c>
      <c r="B9" s="6" t="s">
        <v>156</v>
      </c>
      <c r="C9" s="6">
        <f>COUNTIFS(Trials!$E$2:$E$149,B9,Trials!$H$2:$H$149,"&gt;=0")</f>
        <v>7</v>
      </c>
      <c r="D9" s="6">
        <f>SUMIF(Trials!$E$2:$E$149,B9,Trials!$H$2:$H$149)</f>
        <v>331</v>
      </c>
      <c r="E9" s="9">
        <f t="shared" si="2"/>
        <v>47.28571429</v>
      </c>
      <c r="F9" s="6">
        <f>SUMPRODUCT(MAX((Trials!$E$2:$E$149=B9)*Trials!$H$2:$H$149))</f>
        <v>77</v>
      </c>
      <c r="G9" s="6">
        <f>SUMIF(Trials!$E$2:$E$149,B9,Trials!$J$2:$J$149)</f>
        <v>39</v>
      </c>
    </row>
    <row r="10">
      <c r="A10" s="6">
        <f t="shared" si="1"/>
        <v>6</v>
      </c>
      <c r="B10" s="6" t="s">
        <v>43</v>
      </c>
      <c r="C10" s="6">
        <f>COUNTIFS(Trials!$E$2:$E$149,B10,Trials!$H$2:$H$149,"&gt;=0")</f>
        <v>8</v>
      </c>
      <c r="D10" s="6">
        <f>SUMIF(Trials!$E$2:$E$149,B10,Trials!$H$2:$H$149)</f>
        <v>281</v>
      </c>
      <c r="E10" s="9">
        <f t="shared" si="2"/>
        <v>35.125</v>
      </c>
      <c r="F10" s="6">
        <f>SUMPRODUCT(MAX((Trials!$E$2:$E$149=B10)*Trials!$H$2:$H$149))</f>
        <v>54</v>
      </c>
      <c r="G10" s="6">
        <f>SUMIF(Trials!$E$2:$E$149,B10,Trials!$J$2:$J$149)</f>
        <v>44</v>
      </c>
    </row>
    <row r="11">
      <c r="A11" s="6">
        <f t="shared" si="1"/>
        <v>7</v>
      </c>
      <c r="B11" s="6" t="s">
        <v>88</v>
      </c>
      <c r="C11" s="6">
        <f>COUNTIFS(Trials!$E$2:$E$149,B11,Trials!$H$2:$H$149,"&gt;=0")</f>
        <v>4</v>
      </c>
      <c r="D11" s="6">
        <f>SUMIF(Trials!$E$2:$E$149,B11,Trials!$H$2:$H$149)</f>
        <v>229</v>
      </c>
      <c r="E11" s="9">
        <f t="shared" si="2"/>
        <v>57.25</v>
      </c>
      <c r="F11" s="6">
        <f>SUMPRODUCT(MAX((Trials!$E$2:$E$149=B11)*Trials!$H$2:$H$149))</f>
        <v>67</v>
      </c>
      <c r="G11" s="6">
        <f>SUMIF(Trials!$E$2:$E$149,B11,Trials!$J$2:$J$149)</f>
        <v>45</v>
      </c>
    </row>
    <row r="12">
      <c r="A12" s="6">
        <f t="shared" si="1"/>
        <v>8</v>
      </c>
      <c r="B12" s="6" t="s">
        <v>92</v>
      </c>
      <c r="C12" s="6">
        <f>COUNTIFS(Trials!$E$2:$E$149,B12,Trials!$H$2:$H$149,"&gt;=0")</f>
        <v>8</v>
      </c>
      <c r="D12" s="6">
        <f>SUMIF(Trials!$E$2:$E$149,B12,Trials!$H$2:$H$149)</f>
        <v>183</v>
      </c>
      <c r="E12" s="9">
        <f t="shared" si="2"/>
        <v>22.875</v>
      </c>
      <c r="F12" s="6">
        <f>SUMPRODUCT(MAX((Trials!$E$2:$E$149=B12)*Trials!$H$2:$H$149))</f>
        <v>31</v>
      </c>
      <c r="G12" s="6">
        <f>SUMIF(Trials!$E$2:$E$149,B12,Trials!$J$2:$J$149)</f>
        <v>36</v>
      </c>
    </row>
    <row r="13">
      <c r="A13" s="6">
        <f t="shared" si="1"/>
        <v>9</v>
      </c>
      <c r="B13" s="6" t="s">
        <v>119</v>
      </c>
      <c r="C13" s="6">
        <f>COUNTIFS(Trials!$E$2:$E$149,B13,Trials!$H$2:$H$149,"&gt;=0")</f>
        <v>6</v>
      </c>
      <c r="D13" s="6">
        <f>SUMIF(Trials!$E$2:$E$149,B13,Trials!$H$2:$H$149)</f>
        <v>150</v>
      </c>
      <c r="E13" s="9">
        <f t="shared" si="2"/>
        <v>25</v>
      </c>
      <c r="F13" s="6">
        <f>SUMPRODUCT(MAX((Trials!$E$2:$E$149=B13)*Trials!$H$2:$H$149))</f>
        <v>35</v>
      </c>
      <c r="G13" s="6">
        <f>SUMIF(Trials!$E$2:$E$149,B13,Trials!$J$2:$J$149)</f>
        <v>28</v>
      </c>
    </row>
    <row r="14">
      <c r="A14" s="6">
        <f t="shared" si="1"/>
        <v>10</v>
      </c>
      <c r="B14" s="6" t="s">
        <v>136</v>
      </c>
      <c r="C14" s="6">
        <f>COUNTIFS(Trials!$E$2:$E$149,B14,Trials!$H$2:$H$149,"&gt;=0")</f>
        <v>4</v>
      </c>
      <c r="D14" s="6">
        <f>SUMIF(Trials!$E$2:$E$149,B14,Trials!$H$2:$H$149)</f>
        <v>134</v>
      </c>
      <c r="E14" s="9">
        <f t="shared" si="2"/>
        <v>33.5</v>
      </c>
      <c r="F14" s="6">
        <f>SUMPRODUCT(MAX((Trials!$E$2:$E$149=B14)*Trials!$H$2:$H$149))</f>
        <v>42</v>
      </c>
      <c r="G14" s="6">
        <f>SUMIF(Trials!$E$2:$E$149,B14,Trials!$J$2:$J$149)</f>
        <v>21</v>
      </c>
    </row>
    <row r="15">
      <c r="A15" s="6">
        <f t="shared" si="1"/>
        <v>11</v>
      </c>
      <c r="B15" s="6" t="s">
        <v>94</v>
      </c>
      <c r="C15" s="6">
        <f>COUNTIFS(Trials!$E$2:$E$149,B15,Trials!$H$2:$H$149,"&gt;=0")</f>
        <v>3</v>
      </c>
      <c r="D15" s="6">
        <f>SUMIF(Trials!$E$2:$E$149,B15,Trials!$H$2:$H$149)</f>
        <v>120</v>
      </c>
      <c r="E15" s="9">
        <f t="shared" si="2"/>
        <v>40</v>
      </c>
      <c r="F15" s="6">
        <f>SUMPRODUCT(MAX((Trials!$E$2:$E$149=B15)*Trials!$H$2:$H$149))</f>
        <v>43</v>
      </c>
      <c r="G15" s="6">
        <f>SUMIF(Trials!$E$2:$E$149,B15,Trials!$J$2:$J$149)</f>
        <v>1</v>
      </c>
    </row>
    <row r="16">
      <c r="A16" s="6">
        <f t="shared" si="1"/>
        <v>12</v>
      </c>
      <c r="B16" s="6" t="s">
        <v>110</v>
      </c>
      <c r="C16" s="6">
        <f>COUNTIFS(Trials!$E$2:$E$149,B16,Trials!$H$2:$H$149,"&gt;=0")</f>
        <v>4</v>
      </c>
      <c r="D16" s="6">
        <f>SUMIF(Trials!$E$2:$E$149,B16,Trials!$H$2:$H$149)</f>
        <v>112</v>
      </c>
      <c r="E16" s="9">
        <f t="shared" si="2"/>
        <v>28</v>
      </c>
      <c r="F16" s="6">
        <f>SUMPRODUCT(MAX((Trials!$E$2:$E$149=B16)*Trials!$H$2:$H$149))</f>
        <v>38</v>
      </c>
      <c r="G16" s="6">
        <f>SUMIF(Trials!$E$2:$E$149,B16,Trials!$J$2:$J$149)</f>
        <v>28</v>
      </c>
    </row>
    <row r="17">
      <c r="A17" s="6">
        <f t="shared" si="1"/>
        <v>13</v>
      </c>
      <c r="B17" s="6" t="s">
        <v>177</v>
      </c>
      <c r="C17" s="6">
        <f>COUNTIFS(Trials!$E$2:$E$149,B17,Trials!$H$2:$H$149,"&gt;=0")</f>
        <v>2</v>
      </c>
      <c r="D17" s="6">
        <f>SUMIF(Trials!$E$2:$E$149,B17,Trials!$H$2:$H$149)</f>
        <v>107</v>
      </c>
      <c r="E17" s="9">
        <f t="shared" si="2"/>
        <v>53.5</v>
      </c>
      <c r="F17" s="6">
        <f>SUMPRODUCT(MAX((Trials!$E$2:$E$149=B17)*Trials!$H$2:$H$149))</f>
        <v>56</v>
      </c>
      <c r="G17" s="6">
        <f>SUMIF(Trials!$E$2:$E$149,B17,Trials!$J$2:$J$149)</f>
        <v>6</v>
      </c>
    </row>
    <row r="18">
      <c r="A18" s="6">
        <f t="shared" si="1"/>
        <v>14</v>
      </c>
      <c r="B18" s="6" t="s">
        <v>139</v>
      </c>
      <c r="C18" s="6">
        <f>COUNTIFS(Trials!$E$2:$E$149,B18,Trials!$H$2:$H$149,"&gt;=0")</f>
        <v>2</v>
      </c>
      <c r="D18" s="6">
        <f>SUMIF(Trials!$E$2:$E$149,B18,Trials!$H$2:$H$149)</f>
        <v>93</v>
      </c>
      <c r="E18" s="9">
        <f t="shared" si="2"/>
        <v>46.5</v>
      </c>
      <c r="F18" s="6">
        <f>SUMPRODUCT(MAX((Trials!$E$2:$E$149=B18)*Trials!$H$2:$H$149))</f>
        <v>54</v>
      </c>
      <c r="G18" s="6">
        <f>SUMIF(Trials!$E$2:$E$149,B18,Trials!$J$2:$J$149)</f>
        <v>16</v>
      </c>
    </row>
    <row r="19">
      <c r="A19" s="6">
        <f t="shared" si="1"/>
        <v>15</v>
      </c>
      <c r="B19" s="6" t="s">
        <v>124</v>
      </c>
      <c r="C19" s="6">
        <f>COUNTIFS(Trials!$E$2:$E$149,B19,Trials!$H$2:$H$149,"&gt;=0")</f>
        <v>3</v>
      </c>
      <c r="D19" s="6">
        <f>SUMIF(Trials!$E$2:$E$149,B19,Trials!$H$2:$H$149)</f>
        <v>66</v>
      </c>
      <c r="E19" s="9">
        <f t="shared" si="2"/>
        <v>22</v>
      </c>
      <c r="F19" s="6">
        <f>SUMPRODUCT(MAX((Trials!$E$2:$E$149=B19)*Trials!$H$2:$H$149))</f>
        <v>26</v>
      </c>
      <c r="G19" s="6">
        <f>SUMIF(Trials!$E$2:$E$149,B19,Trials!$J$2:$J$149)</f>
        <v>15</v>
      </c>
    </row>
    <row r="20">
      <c r="A20" s="6">
        <f t="shared" si="1"/>
        <v>16</v>
      </c>
      <c r="B20" s="6" t="s">
        <v>107</v>
      </c>
      <c r="C20" s="6">
        <f>COUNTIFS(Trials!$E$2:$E$149,B20,Trials!$H$2:$H$149,"&gt;=0")</f>
        <v>4</v>
      </c>
      <c r="D20" s="6">
        <f>SUMIF(Trials!$E$2:$E$149,B20,Trials!$H$2:$H$149)</f>
        <v>54</v>
      </c>
      <c r="E20" s="9">
        <f t="shared" si="2"/>
        <v>13.5</v>
      </c>
      <c r="F20" s="6">
        <f>SUMPRODUCT(MAX((Trials!$E$2:$E$149=B20)*Trials!$H$2:$H$149))</f>
        <v>20</v>
      </c>
      <c r="G20" s="6">
        <f>SUMIF(Trials!$E$2:$E$149,B20,Trials!$J$2:$J$149)</f>
        <v>5</v>
      </c>
    </row>
    <row r="21" ht="15.75" customHeight="1">
      <c r="A21" s="6">
        <f t="shared" si="1"/>
        <v>17</v>
      </c>
      <c r="B21" s="6" t="s">
        <v>168</v>
      </c>
      <c r="C21" s="6">
        <f>COUNTIFS(Trials!$E$2:$E$149,B21,Trials!$H$2:$H$149,"&gt;=0")</f>
        <v>3</v>
      </c>
      <c r="D21" s="6">
        <f>SUMIF(Trials!$E$2:$E$149,B21,Trials!$H$2:$H$149)</f>
        <v>46</v>
      </c>
      <c r="E21" s="9">
        <f t="shared" si="2"/>
        <v>15.33333333</v>
      </c>
      <c r="F21" s="6">
        <f>SUMPRODUCT(MAX((Trials!$E$2:$E$149=B21)*Trials!$H$2:$H$149))</f>
        <v>30</v>
      </c>
      <c r="G21" s="6">
        <f>SUMIF(Trials!$E$2:$E$149,B21,Trials!$J$2:$J$149)</f>
        <v>4</v>
      </c>
    </row>
    <row r="22" ht="15.75" customHeight="1">
      <c r="A22" s="6">
        <f t="shared" si="1"/>
        <v>18</v>
      </c>
      <c r="B22" s="6" t="s">
        <v>144</v>
      </c>
      <c r="C22" s="6">
        <f>COUNTIFS(Trials!$E$2:$E$149,B22,Trials!$H$2:$H$149,"&gt;=0")</f>
        <v>5</v>
      </c>
      <c r="D22" s="6">
        <f>SUMIF(Trials!$E$2:$E$149,B22,Trials!$H$2:$H$149)</f>
        <v>41</v>
      </c>
      <c r="E22" s="9">
        <f t="shared" si="2"/>
        <v>8.2</v>
      </c>
      <c r="F22" s="6">
        <f>SUMPRODUCT(MAX((Trials!$E$2:$E$149=B22)*Trials!$H$2:$H$149))</f>
        <v>10</v>
      </c>
      <c r="G22" s="6">
        <f>SUMIF(Trials!$E$2:$E$149,B22,Trials!$J$2:$J$149)</f>
        <v>6</v>
      </c>
    </row>
    <row r="23" ht="15.75" customHeight="1">
      <c r="A23" s="6">
        <f t="shared" si="1"/>
        <v>19</v>
      </c>
      <c r="B23" s="6" t="s">
        <v>130</v>
      </c>
      <c r="C23" s="6">
        <f>COUNTIFS(Trials!$E$2:$E$149,B23,Trials!$H$2:$H$149,"&gt;=0")</f>
        <v>1</v>
      </c>
      <c r="D23" s="6">
        <f>SUMIF(Trials!$E$2:$E$149,B23,Trials!$H$2:$H$149)</f>
        <v>35</v>
      </c>
      <c r="E23" s="9">
        <f t="shared" si="2"/>
        <v>35</v>
      </c>
      <c r="F23" s="6">
        <f>SUMPRODUCT(MAX((Trials!$E$2:$E$149=B23)*Trials!$H$2:$H$149))</f>
        <v>35</v>
      </c>
      <c r="G23" s="6">
        <f>SUMIF(Trials!$E$2:$E$149,B23,Trials!$J$2:$J$149)</f>
        <v>14</v>
      </c>
    </row>
    <row r="24" ht="15.75" customHeight="1">
      <c r="A24" s="6">
        <f t="shared" si="1"/>
        <v>20</v>
      </c>
      <c r="B24" s="6" t="s">
        <v>114</v>
      </c>
      <c r="C24" s="6">
        <f>COUNTIFS(Trials!$E$2:$E$149,B24,Trials!$H$2:$H$149,"&gt;=0")</f>
        <v>2</v>
      </c>
      <c r="D24" s="6">
        <f>SUMIF(Trials!$E$2:$E$149,B24,Trials!$H$2:$H$149)</f>
        <v>32</v>
      </c>
      <c r="E24" s="9">
        <f t="shared" si="2"/>
        <v>16</v>
      </c>
      <c r="F24" s="6">
        <f>SUMPRODUCT(MAX((Trials!$E$2:$E$149=B24)*Trials!$H$2:$H$149))</f>
        <v>16</v>
      </c>
      <c r="G24" s="6">
        <f>SUMIF(Trials!$E$2:$E$149,B24,Trials!$J$2:$J$149)</f>
        <v>16</v>
      </c>
    </row>
    <row r="25" ht="15.75" customHeight="1">
      <c r="A25" s="6">
        <f t="shared" si="1"/>
        <v>20</v>
      </c>
      <c r="B25" s="6" t="s">
        <v>133</v>
      </c>
      <c r="C25" s="6">
        <f>COUNTIFS(Trials!$E$2:$E$149,B25,Trials!$H$2:$H$149,"&gt;=0")</f>
        <v>2</v>
      </c>
      <c r="D25" s="6">
        <f>SUMIF(Trials!$E$2:$E$149,B25,Trials!$H$2:$H$149)</f>
        <v>32</v>
      </c>
      <c r="E25" s="9">
        <f t="shared" si="2"/>
        <v>16</v>
      </c>
      <c r="F25" s="6">
        <f>SUMPRODUCT(MAX((Trials!$E$2:$E$149=B25)*Trials!$H$2:$H$149))</f>
        <v>19</v>
      </c>
      <c r="G25" s="6">
        <f>SUMIF(Trials!$E$2:$E$149,B25,Trials!$J$2:$J$149)</f>
        <v>15</v>
      </c>
    </row>
    <row r="26" ht="15.75" customHeight="1">
      <c r="A26" s="6">
        <f t="shared" si="1"/>
        <v>22</v>
      </c>
      <c r="B26" s="6" t="s">
        <v>127</v>
      </c>
      <c r="C26" s="6">
        <f>COUNTIFS(Trials!$E$2:$E$149,B26,Trials!$H$2:$H$149,"&gt;=0")</f>
        <v>2</v>
      </c>
      <c r="D26" s="6">
        <f>SUMIF(Trials!$E$2:$E$149,B26,Trials!$H$2:$H$149)</f>
        <v>27</v>
      </c>
      <c r="E26" s="9">
        <f t="shared" si="2"/>
        <v>13.5</v>
      </c>
      <c r="F26" s="6">
        <f>SUMPRODUCT(MAX((Trials!$E$2:$E$149=B26)*Trials!$H$2:$H$149))</f>
        <v>16</v>
      </c>
      <c r="G26" s="6">
        <f>SUMIF(Trials!$E$2:$E$149,B26,Trials!$J$2:$J$149)</f>
        <v>0</v>
      </c>
    </row>
    <row r="27" ht="15.75" customHeight="1">
      <c r="A27" s="6">
        <f t="shared" si="1"/>
        <v>23</v>
      </c>
      <c r="B27" s="6" t="s">
        <v>164</v>
      </c>
      <c r="C27" s="6">
        <f>COUNTIFS(Trials!$E$2:$E$149,B27,Trials!$H$2:$H$149,"&gt;=0")</f>
        <v>2</v>
      </c>
      <c r="D27" s="6">
        <f>SUMIF(Trials!$E$2:$E$149,B27,Trials!$H$2:$H$149)</f>
        <v>25</v>
      </c>
      <c r="E27" s="9">
        <f t="shared" si="2"/>
        <v>12.5</v>
      </c>
      <c r="F27" s="6">
        <f>SUMPRODUCT(MAX((Trials!$E$2:$E$149=B27)*Trials!$H$2:$H$149))</f>
        <v>14</v>
      </c>
      <c r="G27" s="6">
        <f>SUMIF(Trials!$E$2:$E$149,B27,Trials!$J$2:$J$149)</f>
        <v>20</v>
      </c>
    </row>
    <row r="28" ht="15.75" customHeight="1">
      <c r="A28" s="6">
        <f t="shared" si="1"/>
        <v>24</v>
      </c>
      <c r="B28" s="6" t="s">
        <v>79</v>
      </c>
      <c r="C28" s="6">
        <f>COUNTIFS(Trials!$E$2:$E$149,B28,Trials!$H$2:$H$149,"&gt;=0")</f>
        <v>2</v>
      </c>
      <c r="D28" s="6">
        <f>SUMIF(Trials!$E$2:$E$149,B28,Trials!$H$2:$H$149)</f>
        <v>24</v>
      </c>
      <c r="E28" s="9">
        <f t="shared" si="2"/>
        <v>12</v>
      </c>
      <c r="F28" s="6">
        <f>SUMPRODUCT(MAX((Trials!$E$2:$E$149=B28)*Trials!$H$2:$H$149))</f>
        <v>13</v>
      </c>
      <c r="G28" s="6">
        <f>SUMIF(Trials!$E$2:$E$149,B28,Trials!$J$2:$J$149)</f>
        <v>8</v>
      </c>
    </row>
    <row r="29" ht="15.75" customHeight="1">
      <c r="A29" s="6">
        <f t="shared" si="1"/>
        <v>25</v>
      </c>
      <c r="B29" s="6" t="s">
        <v>143</v>
      </c>
      <c r="C29" s="6">
        <f>COUNTIFS(Trials!$E$2:$E$149,B29,Trials!$H$2:$H$149,"&gt;=0")</f>
        <v>2</v>
      </c>
      <c r="D29" s="6">
        <f>SUMIF(Trials!$E$2:$E$149,B29,Trials!$H$2:$H$149)</f>
        <v>19</v>
      </c>
      <c r="E29" s="9">
        <f t="shared" si="2"/>
        <v>9.5</v>
      </c>
      <c r="F29" s="6">
        <f>SUMPRODUCT(MAX((Trials!$E$2:$E$149=B29)*Trials!$H$2:$H$149))</f>
        <v>11</v>
      </c>
      <c r="G29" s="6">
        <f>SUMIF(Trials!$E$2:$E$149,B29,Trials!$J$2:$J$149)</f>
        <v>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 ht="15.75" customHeight="1">
      <c r="A1" s="14" t="s">
        <v>188</v>
      </c>
    </row>
    <row r="2" ht="26.25" customHeight="1">
      <c r="A2" s="15" t="s">
        <v>189</v>
      </c>
    </row>
    <row r="3" ht="15.0" customHeight="1">
      <c r="A3" s="15" t="s">
        <v>190</v>
      </c>
    </row>
    <row r="4" ht="26.25" customHeight="1">
      <c r="A4" s="15" t="s">
        <v>191</v>
      </c>
    </row>
    <row r="5" ht="15.0" customHeight="1">
      <c r="A5" s="15" t="s">
        <v>192</v>
      </c>
    </row>
    <row r="6" ht="15.0" customHeight="1">
      <c r="A6" s="15" t="s">
        <v>193</v>
      </c>
    </row>
    <row r="7" ht="26.25" customHeight="1">
      <c r="A7" s="15" t="s">
        <v>194</v>
      </c>
    </row>
    <row r="8" ht="15.0" customHeight="1">
      <c r="A8" s="15" t="s">
        <v>195</v>
      </c>
    </row>
    <row r="9" ht="15.0" customHeight="1">
      <c r="A9" s="15" t="s">
        <v>196</v>
      </c>
    </row>
    <row r="10">
      <c r="A10" s="15" t="s">
        <v>197</v>
      </c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1.0" footer="0.0" header="0.0" left="0.75" right="0.75" top="1.0"/>
  <pageSetup paperSize="9" orientation="portrait"/>
  <drawing r:id="rId1"/>
</worksheet>
</file>